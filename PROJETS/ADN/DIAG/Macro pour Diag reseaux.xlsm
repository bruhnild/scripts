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/>
  <workbookPr/>
  <mc:AlternateContent xmlns:mc="http://schemas.openxmlformats.org/markup-compatibility/2006">
    <mc:Choice Requires="x15">
      <x15ac:absPath xmlns:x15ac="http://schemas.microsoft.com/office/spreadsheetml/2010/11/ac" url="C:\github_repo\github_repo_scripts\scripts\PROJETS\ADN\DIAG\"/>
    </mc:Choice>
  </mc:AlternateContent>
  <bookViews>
    <workbookView xWindow="0" yWindow="0" windowWidth="28800" windowHeight="12405" activeTab="5" xr2:uid="{00000000-000D-0000-FFFF-FFFF00000000}"/>
  </bookViews>
  <sheets>
    <sheet name="Synthèse diag" sheetId="1" r:id="rId1"/>
    <sheet name="Diag_macro" sheetId="2" r:id="rId2"/>
    <sheet name="Diag_NRO_export" sheetId="3" r:id="rId3"/>
    <sheet name="Diag" sheetId="4" r:id="rId4"/>
    <sheet name="SYNTHESE" sheetId="5" r:id="rId5"/>
    <sheet name="Feuil1" sheetId="6" r:id="rId6"/>
  </sheets>
  <definedNames>
    <definedName name="_xlnm._FilterDatabase" localSheetId="2" hidden="1">Diag_NRO_export!$A$1:$Q$6</definedName>
    <definedName name="_xlnm.Print_Area" localSheetId="4">SYNTHESE!$A$1:$P$58</definedName>
  </definedNames>
  <calcPr calcId="171027"/>
  <fileRecoveryPr autoRecover="0"/>
</workbook>
</file>

<file path=xl/calcChain.xml><?xml version="1.0" encoding="utf-8"?>
<calcChain xmlns="http://schemas.openxmlformats.org/spreadsheetml/2006/main">
  <c r="B7" i="1" l="1"/>
  <c r="O41" i="4"/>
  <c r="O42" i="4"/>
  <c r="O43" i="4"/>
  <c r="O44" i="4"/>
  <c r="O45" i="4"/>
  <c r="T41" i="4"/>
  <c r="T42" i="4"/>
  <c r="T43" i="4"/>
  <c r="T44" i="4"/>
  <c r="T45" i="4"/>
  <c r="U41" i="4"/>
  <c r="U42" i="4"/>
  <c r="U43" i="4"/>
  <c r="U44" i="4"/>
  <c r="U45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N31" i="4"/>
  <c r="N32" i="4"/>
  <c r="N33" i="4"/>
  <c r="N34" i="4"/>
  <c r="N35" i="4"/>
  <c r="N36" i="4"/>
  <c r="N37" i="4"/>
  <c r="N38" i="4"/>
  <c r="N39" i="4"/>
  <c r="N40" i="4"/>
  <c r="T40" i="4" s="1"/>
  <c r="N41" i="4"/>
  <c r="N42" i="4"/>
  <c r="N43" i="4"/>
  <c r="N44" i="4"/>
  <c r="N45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C31" i="4"/>
  <c r="C32" i="4"/>
  <c r="C33" i="4"/>
  <c r="C34" i="4"/>
  <c r="C35" i="4"/>
  <c r="C36" i="4"/>
  <c r="C37" i="4"/>
  <c r="T37" i="4" s="1"/>
  <c r="C38" i="4"/>
  <c r="O38" i="4" s="1"/>
  <c r="C39" i="4"/>
  <c r="U39" i="4" s="1"/>
  <c r="C40" i="4"/>
  <c r="U40" i="4" s="1"/>
  <c r="C41" i="4"/>
  <c r="C42" i="4"/>
  <c r="C43" i="4"/>
  <c r="C44" i="4"/>
  <c r="C45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12" i="4"/>
  <c r="I11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O37" i="4" l="1"/>
  <c r="U35" i="4"/>
  <c r="O33" i="4"/>
  <c r="U38" i="4"/>
  <c r="T39" i="4"/>
  <c r="O40" i="4"/>
  <c r="U37" i="4"/>
  <c r="T38" i="4"/>
  <c r="O39" i="4"/>
  <c r="T36" i="4"/>
  <c r="T32" i="4"/>
  <c r="O34" i="4"/>
  <c r="O31" i="4"/>
  <c r="T33" i="4"/>
  <c r="T35" i="4"/>
  <c r="T31" i="4"/>
  <c r="U31" i="4"/>
  <c r="O35" i="4"/>
  <c r="U36" i="4"/>
  <c r="U32" i="4"/>
  <c r="T34" i="4"/>
  <c r="O36" i="4"/>
  <c r="O32" i="4"/>
  <c r="U34" i="4"/>
  <c r="U33" i="4"/>
  <c r="J12" i="4"/>
  <c r="J11" i="4"/>
  <c r="F13" i="4"/>
  <c r="F14" i="4"/>
  <c r="F15" i="4"/>
  <c r="F16" i="4"/>
  <c r="F12" i="4"/>
  <c r="B13" i="4" l="1"/>
  <c r="B14" i="4"/>
  <c r="B15" i="4"/>
  <c r="B16" i="4"/>
  <c r="B17" i="4"/>
  <c r="B12" i="4"/>
  <c r="B11" i="4"/>
  <c r="Q12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S13" i="4"/>
  <c r="S14" i="4"/>
  <c r="S15" i="4"/>
  <c r="S16" i="4"/>
  <c r="S12" i="4"/>
  <c r="R13" i="4"/>
  <c r="R14" i="4"/>
  <c r="R15" i="4"/>
  <c r="R16" i="4"/>
  <c r="R12" i="4"/>
  <c r="Q13" i="4"/>
  <c r="Q14" i="4"/>
  <c r="Q15" i="4"/>
  <c r="Q16" i="4"/>
  <c r="P12" i="4"/>
  <c r="L13" i="4"/>
  <c r="L14" i="4"/>
  <c r="L15" i="4"/>
  <c r="L16" i="4"/>
  <c r="L12" i="4"/>
  <c r="K13" i="4"/>
  <c r="K14" i="4"/>
  <c r="K15" i="4"/>
  <c r="K16" i="4"/>
  <c r="K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N13" i="4"/>
  <c r="N14" i="4"/>
  <c r="N15" i="4"/>
  <c r="N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O30" i="4" l="1"/>
  <c r="U30" i="4"/>
  <c r="T30" i="4"/>
  <c r="O18" i="4"/>
  <c r="U18" i="4"/>
  <c r="T18" i="4"/>
  <c r="T27" i="4"/>
  <c r="O27" i="4"/>
  <c r="U27" i="4"/>
  <c r="T23" i="4"/>
  <c r="O23" i="4"/>
  <c r="U23" i="4"/>
  <c r="T19" i="4"/>
  <c r="U19" i="4"/>
  <c r="O19" i="4"/>
  <c r="T15" i="4"/>
  <c r="O15" i="4"/>
  <c r="U15" i="4"/>
  <c r="O22" i="4"/>
  <c r="U22" i="4"/>
  <c r="T22" i="4"/>
  <c r="O29" i="4"/>
  <c r="U29" i="4"/>
  <c r="T29" i="4"/>
  <c r="O25" i="4"/>
  <c r="U25" i="4"/>
  <c r="T25" i="4"/>
  <c r="O21" i="4"/>
  <c r="U21" i="4"/>
  <c r="T21" i="4"/>
  <c r="O17" i="4"/>
  <c r="U17" i="4"/>
  <c r="T17" i="4"/>
  <c r="O13" i="4"/>
  <c r="U13" i="4"/>
  <c r="T13" i="4"/>
  <c r="O26" i="4"/>
  <c r="U26" i="4"/>
  <c r="T26" i="4"/>
  <c r="O14" i="4"/>
  <c r="U14" i="4"/>
  <c r="T14" i="4"/>
  <c r="T28" i="4"/>
  <c r="O28" i="4"/>
  <c r="U28" i="4"/>
  <c r="T24" i="4"/>
  <c r="O24" i="4"/>
  <c r="U24" i="4"/>
  <c r="T20" i="4"/>
  <c r="O20" i="4"/>
  <c r="U20" i="4"/>
  <c r="T16" i="4"/>
  <c r="O16" i="4"/>
  <c r="U16" i="4"/>
  <c r="N12" i="4"/>
  <c r="M13" i="4"/>
  <c r="M14" i="4"/>
  <c r="M15" i="4"/>
  <c r="M16" i="4"/>
  <c r="M12" i="4"/>
  <c r="H11" i="4"/>
  <c r="H12" i="4"/>
  <c r="D12" i="4"/>
  <c r="G12" i="4"/>
  <c r="G11" i="4"/>
  <c r="C12" i="4"/>
  <c r="E12" i="4"/>
  <c r="C3" i="1"/>
  <c r="C6" i="1"/>
  <c r="C5" i="1"/>
  <c r="C4" i="1"/>
  <c r="A5" i="1"/>
  <c r="A6" i="1"/>
  <c r="O12" i="4" l="1"/>
  <c r="U12" i="4"/>
  <c r="T12" i="4"/>
</calcChain>
</file>

<file path=xl/sharedStrings.xml><?xml version="1.0" encoding="utf-8"?>
<sst xmlns="http://schemas.openxmlformats.org/spreadsheetml/2006/main" count="3374" uniqueCount="479">
  <si>
    <t>total</t>
  </si>
  <si>
    <t>lineaire</t>
  </si>
  <si>
    <t>Transport</t>
  </si>
  <si>
    <t>Nb Chb Transport</t>
  </si>
  <si>
    <t>Linéaire GC structurant</t>
  </si>
  <si>
    <t>Chaussée</t>
  </si>
  <si>
    <t>Trottoir</t>
  </si>
  <si>
    <t>Accotement</t>
  </si>
  <si>
    <t>Proximité EDF</t>
  </si>
  <si>
    <t>%</t>
  </si>
  <si>
    <t>Forte probabilité de saturation du réseau</t>
  </si>
  <si>
    <t>Probabilité de saturation du réseau</t>
  </si>
  <si>
    <t>&lt;40dcm3</t>
  </si>
  <si>
    <t>&lt;30dcm3</t>
  </si>
  <si>
    <t>&lt;10dcm3</t>
  </si>
  <si>
    <t>&lt;2dcm3</t>
  </si>
  <si>
    <t>-</t>
  </si>
  <si>
    <t>E4</t>
  </si>
  <si>
    <t>P6</t>
  </si>
  <si>
    <t>E2</t>
  </si>
  <si>
    <t>E3</t>
  </si>
  <si>
    <t>P5</t>
  </si>
  <si>
    <t>C3</t>
  </si>
  <si>
    <t>P4</t>
  </si>
  <si>
    <t>E1</t>
  </si>
  <si>
    <t>P3</t>
  </si>
  <si>
    <t>C2</t>
  </si>
  <si>
    <t>D4</t>
  </si>
  <si>
    <t>P2</t>
  </si>
  <si>
    <t>C1</t>
  </si>
  <si>
    <t>D3</t>
  </si>
  <si>
    <t>P1</t>
  </si>
  <si>
    <t>K3C</t>
  </si>
  <si>
    <t>A4</t>
  </si>
  <si>
    <t>D1</t>
  </si>
  <si>
    <t>L4T</t>
  </si>
  <si>
    <t>B1</t>
  </si>
  <si>
    <t>L5T</t>
  </si>
  <si>
    <t>B2</t>
  </si>
  <si>
    <t>L6T</t>
  </si>
  <si>
    <t>M1</t>
  </si>
  <si>
    <t>M2</t>
  </si>
  <si>
    <t>D2</t>
  </si>
  <si>
    <t>M3</t>
  </si>
  <si>
    <t>K2C</t>
  </si>
  <si>
    <t>L3T</t>
  </si>
  <si>
    <t>A2</t>
  </si>
  <si>
    <t>A1</t>
  </si>
  <si>
    <t>A3</t>
  </si>
  <si>
    <t>L2T</t>
  </si>
  <si>
    <t>K1C</t>
  </si>
  <si>
    <t>L1T</t>
  </si>
  <si>
    <t>A10</t>
  </si>
  <si>
    <t>OHN</t>
  </si>
  <si>
    <t>L0T</t>
  </si>
  <si>
    <t>BPE possible</t>
  </si>
  <si>
    <t>Chambre</t>
  </si>
  <si>
    <t>Implantation</t>
  </si>
  <si>
    <t>C</t>
  </si>
  <si>
    <t>T</t>
  </si>
  <si>
    <t>Stationnement</t>
  </si>
  <si>
    <t>S</t>
  </si>
  <si>
    <t>A</t>
  </si>
  <si>
    <t>M1C</t>
  </si>
  <si>
    <t>4Ø60+3Ø45</t>
  </si>
  <si>
    <t>4Ø60+4Ø45</t>
  </si>
  <si>
    <t>2Ø45</t>
  </si>
  <si>
    <t>1Ø60</t>
  </si>
  <si>
    <t>P1C</t>
  </si>
  <si>
    <t>4Ø60+1Ø45</t>
  </si>
  <si>
    <t>Diagnostic réseaux N+5</t>
  </si>
  <si>
    <t>MSRO :</t>
  </si>
  <si>
    <t>Numéro de Parcelles :</t>
  </si>
  <si>
    <t>A1167</t>
  </si>
  <si>
    <t>Adresse :</t>
  </si>
  <si>
    <t>Parking de la mairie de Barbieres</t>
  </si>
  <si>
    <t>Chambre A</t>
  </si>
  <si>
    <t>Chambre B</t>
  </si>
  <si>
    <t>Percements</t>
  </si>
  <si>
    <t>Etats des aLvéoles</t>
  </si>
  <si>
    <t>Diagnostique</t>
  </si>
  <si>
    <t>Alvéole réservé</t>
  </si>
  <si>
    <t>Chb A</t>
  </si>
  <si>
    <t>Type Chb A</t>
  </si>
  <si>
    <t>Situation Chb A</t>
  </si>
  <si>
    <t>Chb B</t>
  </si>
  <si>
    <t>Type Chb B</t>
  </si>
  <si>
    <t>Situation Chb B</t>
  </si>
  <si>
    <t>Percement Chb A</t>
  </si>
  <si>
    <t>Percement Chb B</t>
  </si>
  <si>
    <t>Linéaire</t>
  </si>
  <si>
    <t>Composition</t>
  </si>
  <si>
    <t>Type de réseaux</t>
  </si>
  <si>
    <t>Propriétaire</t>
  </si>
  <si>
    <t>Diametre alvéole réservée</t>
  </si>
  <si>
    <t>Occupation alvéole</t>
  </si>
  <si>
    <t>% d'occupation</t>
  </si>
  <si>
    <t>Etat du réseau</t>
  </si>
  <si>
    <t>Commentaire</t>
  </si>
  <si>
    <t>NRO</t>
  </si>
  <si>
    <t>Tirage</t>
  </si>
  <si>
    <t>GC à créer</t>
  </si>
  <si>
    <t>ADN</t>
  </si>
  <si>
    <t>Oui</t>
  </si>
  <si>
    <t>Non</t>
  </si>
  <si>
    <t>Distribution</t>
  </si>
  <si>
    <t>4Ø60+2Ø45</t>
  </si>
  <si>
    <t>3Ø45</t>
  </si>
  <si>
    <t>6Ø60+6Ø45</t>
  </si>
  <si>
    <t>2Ø28</t>
  </si>
  <si>
    <t>1Ø45</t>
  </si>
  <si>
    <t>4Ø80</t>
  </si>
  <si>
    <t>4Ø60+Ø45</t>
  </si>
  <si>
    <t>1Ø150</t>
  </si>
  <si>
    <t>6Ø45</t>
  </si>
  <si>
    <t>6Ø80+4Ø45</t>
  </si>
  <si>
    <t>4Ø45</t>
  </si>
  <si>
    <t>3Ø60</t>
  </si>
  <si>
    <t>7Ø45</t>
  </si>
  <si>
    <t>5Ø45</t>
  </si>
  <si>
    <t>1Ø120</t>
  </si>
  <si>
    <t>6Ø80</t>
  </si>
  <si>
    <t>rouge</t>
  </si>
  <si>
    <t>jaune</t>
  </si>
  <si>
    <t>vert</t>
  </si>
  <si>
    <t>Faible probabilité de saturation du réseau</t>
  </si>
  <si>
    <t>4Ø45+PEHD:1Ø50</t>
  </si>
  <si>
    <t>3Ø60+4Ø45</t>
  </si>
  <si>
    <t>Ciment:1Ø150</t>
  </si>
  <si>
    <t>Diagnostic Implantation NRO</t>
  </si>
  <si>
    <t>Charpey (26)</t>
  </si>
  <si>
    <t>Reseaux</t>
  </si>
  <si>
    <t>Parcelles</t>
  </si>
  <si>
    <t>ZI0217</t>
  </si>
  <si>
    <t>N213</t>
  </si>
  <si>
    <t>ZM107</t>
  </si>
  <si>
    <t>% Chambres de transport</t>
  </si>
  <si>
    <t>% Reseaux de 
transport</t>
  </si>
  <si>
    <t>% Reseaux avec probabilité de saturation</t>
  </si>
  <si>
    <t>% Reseaux avec forte probabilité de saturation</t>
  </si>
  <si>
    <t>Accessibilité des chambres</t>
  </si>
  <si>
    <t>Mauvais</t>
  </si>
  <si>
    <t>Moyen</t>
  </si>
  <si>
    <t>Genie Civil</t>
  </si>
  <si>
    <t>Préférence</t>
  </si>
  <si>
    <t>1Ø100</t>
  </si>
  <si>
    <t>4Ø80+4Ø45</t>
  </si>
  <si>
    <t>2Ø60+6Ø45</t>
  </si>
  <si>
    <t>3Ø80+3Ø45</t>
  </si>
  <si>
    <t>Type de réseau</t>
  </si>
  <si>
    <t>Couleur</t>
  </si>
  <si>
    <t>CHB percement A</t>
  </si>
  <si>
    <t>CHB percement B</t>
  </si>
  <si>
    <t>L1C</t>
  </si>
  <si>
    <t>1Ø77/80</t>
  </si>
  <si>
    <t>9Ø77/80</t>
  </si>
  <si>
    <t>8Ø75/80+4Ø45</t>
  </si>
  <si>
    <t>3Ø60+1Ø45(T)+PEHD:3Ø50</t>
  </si>
  <si>
    <t>Ciment:1Ø120</t>
  </si>
  <si>
    <t>14Ø45</t>
  </si>
  <si>
    <t>5Ø100</t>
  </si>
  <si>
    <t>11Ø45</t>
  </si>
  <si>
    <t>3Ø60+7Ø45</t>
  </si>
  <si>
    <t>1Ø150+2Ø45</t>
  </si>
  <si>
    <t>2Ø45+PEHD:2Ø40</t>
  </si>
  <si>
    <t>2Ø60+5Ø45</t>
  </si>
  <si>
    <t>3Ø28</t>
  </si>
  <si>
    <t>4 Ø45 + 3 Ø75</t>
  </si>
  <si>
    <t>15Ø77/80</t>
  </si>
  <si>
    <t>2Ø77/80+2Ø45</t>
  </si>
  <si>
    <t>10Ø77/80+4Ø45</t>
  </si>
  <si>
    <t>Ciment:2Ø100</t>
  </si>
  <si>
    <t>6Ø75/80+4Ø45</t>
  </si>
  <si>
    <t>PEHD:1Ø25</t>
  </si>
  <si>
    <t>6Ø77/80+4Ø45</t>
  </si>
  <si>
    <t>1Ø150+3Ø45</t>
  </si>
  <si>
    <t>5Ø150+1Ø45</t>
  </si>
  <si>
    <t>4Ø33</t>
  </si>
  <si>
    <t>2Ø60</t>
  </si>
  <si>
    <t>Ciment:2Ø150(T)</t>
  </si>
  <si>
    <t>2Ø45+2Ø33</t>
  </si>
  <si>
    <t>Ciment:1Ø150(T)</t>
  </si>
  <si>
    <t>3Ø77/80+8Ø45</t>
  </si>
  <si>
    <t>Ciment:3Ø100</t>
  </si>
  <si>
    <t>1Ø150+2Ø60+3Ø45</t>
  </si>
  <si>
    <t>3Ø75/80+2Ø45</t>
  </si>
  <si>
    <t>8Ø150</t>
  </si>
  <si>
    <t>2Ø60+1Ø28</t>
  </si>
  <si>
    <t>1Ø60+4Ø45</t>
  </si>
  <si>
    <t>9Ø75/80+Ciment:1Ø150</t>
  </si>
  <si>
    <t>7Ø45+Ciment:2Ø150</t>
  </si>
  <si>
    <t>Ciment:1Ø100</t>
  </si>
  <si>
    <t>3Ø45+PEHD:1Ø40</t>
  </si>
  <si>
    <t>1Ø60+PEHD:2Ø40</t>
  </si>
  <si>
    <t>2Ø45+Ciment:1Ø120</t>
  </si>
  <si>
    <t>1Ø60+2Ø45</t>
  </si>
  <si>
    <t>1Ø60+Ciment:1Ø150</t>
  </si>
  <si>
    <t>2Ø45+Ciment:1Ø120(T)</t>
  </si>
  <si>
    <t>1Ø60+PEHD:1Ø50+1Ø25</t>
  </si>
  <si>
    <t>2Ø75/80+2Ø45</t>
  </si>
  <si>
    <t>6Ø60+4Ø45</t>
  </si>
  <si>
    <t>3Ø150</t>
  </si>
  <si>
    <t>2 Ø45</t>
  </si>
  <si>
    <t>6Ø75/80+4Ø60</t>
  </si>
  <si>
    <t>1Ø45+PEHD:2Ø40</t>
  </si>
  <si>
    <t>1Ø75/80(T)</t>
  </si>
  <si>
    <t>1Ø45+PEHD:1Ø40</t>
  </si>
  <si>
    <t>3Ø60+5Ø45</t>
  </si>
  <si>
    <t>9Ø45</t>
  </si>
  <si>
    <t>2Ø60+2Ø45</t>
  </si>
  <si>
    <t>2Ø77/80+4Ø45</t>
  </si>
  <si>
    <t>2Ø100+2Ø60</t>
  </si>
  <si>
    <t>3Ø77/80</t>
  </si>
  <si>
    <t>12Ø77/80+7Ø45</t>
  </si>
  <si>
    <t>9Ø77/80+14Ø45</t>
  </si>
  <si>
    <t>1Ø77/80+3Ø45</t>
  </si>
  <si>
    <t>15Ø45</t>
  </si>
  <si>
    <t>3Ø45+PEHD:2Ø40</t>
  </si>
  <si>
    <t>9Ø75/80</t>
  </si>
  <si>
    <t>1Ø75/80+3Ø45</t>
  </si>
  <si>
    <t>3Ø77/80+4Ø60</t>
  </si>
  <si>
    <t>PEHD:3Ø50</t>
  </si>
  <si>
    <t>7Ø60+4Ø45</t>
  </si>
  <si>
    <t>3Ø33+2Ø28</t>
  </si>
  <si>
    <t>25Ø75/80</t>
  </si>
  <si>
    <t>PEHD:3Ø40</t>
  </si>
  <si>
    <t>3Ø77/80+1Ø45</t>
  </si>
  <si>
    <t>3 Ø45</t>
  </si>
  <si>
    <t>6Ø60+2Ø45</t>
  </si>
  <si>
    <t>5Ø60</t>
  </si>
  <si>
    <t>3Ø60+4Ø45+Ciment:1Ø120</t>
  </si>
  <si>
    <t>1Ø45+Ciment:1Ø120</t>
  </si>
  <si>
    <t>1Ø45+1Ø28</t>
  </si>
  <si>
    <t>2Ø60+4Ø45+PEHD:3Ø50</t>
  </si>
  <si>
    <t>3Ø60+3Ø45</t>
  </si>
  <si>
    <t>23Ø45</t>
  </si>
  <si>
    <t>1Ø150+1Ø60</t>
  </si>
  <si>
    <t>2Ø45+PEHD:6Ø25</t>
  </si>
  <si>
    <t>2Ø77/80+8Ø45</t>
  </si>
  <si>
    <t>5Ø45</t>
  </si>
  <si>
    <t>4Ø60+9Ø45</t>
  </si>
  <si>
    <t>3Ø45+Ciment:1Ø150</t>
  </si>
  <si>
    <t>1Ø28</t>
  </si>
  <si>
    <t>5Ø75/80</t>
  </si>
  <si>
    <t>3Ø75/80+6Ø45</t>
  </si>
  <si>
    <t>1Ø77/80+1Ø60+PEHD:1Ø50</t>
  </si>
  <si>
    <t>PEHD:1Ø40</t>
  </si>
  <si>
    <t>2Ø45+2Ø28</t>
  </si>
  <si>
    <t>1 PEHD Ø42</t>
  </si>
  <si>
    <t>2Ø45+PEHD:1Ø60</t>
  </si>
  <si>
    <t>6Ø60+3Ø45</t>
  </si>
  <si>
    <t>4Ø77/80+2Ø45</t>
  </si>
  <si>
    <t>PEHD:1Ø27/32</t>
  </si>
  <si>
    <t>9Ø75/80+4Ø45</t>
  </si>
  <si>
    <t>4Ø77/80+6Ø45</t>
  </si>
  <si>
    <t>1Ø120(T)</t>
  </si>
  <si>
    <t>1Ø45+2Ø28</t>
  </si>
  <si>
    <t>3Ø60+2Ø45</t>
  </si>
  <si>
    <t>2Ø100</t>
  </si>
  <si>
    <t>PEHD:2Ø50</t>
  </si>
  <si>
    <t>16Ø77/80</t>
  </si>
  <si>
    <t>6Ø33</t>
  </si>
  <si>
    <t>1Ø75/80+3Ø60+7Ø45</t>
  </si>
  <si>
    <t>6Ø60+9Ø45</t>
  </si>
  <si>
    <t>20Ø77/80</t>
  </si>
  <si>
    <t>2Ø150</t>
  </si>
  <si>
    <t>2Ø45+4Ø28</t>
  </si>
  <si>
    <t>1Ø18</t>
  </si>
  <si>
    <t>PEHD:4Ø50</t>
  </si>
  <si>
    <t>2Ø60+3Ø45</t>
  </si>
  <si>
    <t>12Ø77/80</t>
  </si>
  <si>
    <t>1Ø75/80+2Ø60+2Ø45</t>
  </si>
  <si>
    <t>1Ø150(T)</t>
  </si>
  <si>
    <t>7Ø60</t>
  </si>
  <si>
    <t>9Ø60</t>
  </si>
  <si>
    <t>12Ø77/80+4Ø45</t>
  </si>
  <si>
    <t>3 Ø45 + 2 Ø60</t>
  </si>
  <si>
    <t>12Ø60</t>
  </si>
  <si>
    <t>2Ø60+1Ø45</t>
  </si>
  <si>
    <t>1Ø75/80+PEHD:2Ø40</t>
  </si>
  <si>
    <t>1Ø77/80+1Ø45</t>
  </si>
  <si>
    <t>4Ø60+6Ø45</t>
  </si>
  <si>
    <t>2Ø75/80+4Ø45</t>
  </si>
  <si>
    <t>4Ø75/80</t>
  </si>
  <si>
    <t>20Ø77/80+4Ø45</t>
  </si>
  <si>
    <t>3Ø60+4Ø45+PEHD:1Ø50</t>
  </si>
  <si>
    <t>2Ø60+4Ø45</t>
  </si>
  <si>
    <t>18Ø75/80</t>
  </si>
  <si>
    <t>1Ø150+4Ø45</t>
  </si>
  <si>
    <t>8Ø60+7Ø45</t>
  </si>
  <si>
    <t>8Ø60</t>
  </si>
  <si>
    <t>1Ø75/80+1Ø45</t>
  </si>
  <si>
    <t>Ciment:2Ø150</t>
  </si>
  <si>
    <t>16Ø77/80+4Ø45</t>
  </si>
  <si>
    <t>4Ø100</t>
  </si>
  <si>
    <t>1Ø150+8Ø45</t>
  </si>
  <si>
    <t>1Ø45+PEHD:1Ø50</t>
  </si>
  <si>
    <t>1Ø150+1Ø45</t>
  </si>
  <si>
    <t>8Ø60+Ciment:2Ø150</t>
  </si>
  <si>
    <t>5Ø60+6Ø45</t>
  </si>
  <si>
    <t>2Ø45+1Ø28</t>
  </si>
  <si>
    <t>1Ø150+PEHD:1Ø40</t>
  </si>
  <si>
    <t>PEHD:2Ø25</t>
  </si>
  <si>
    <t>5Ø60+3Ø45</t>
  </si>
  <si>
    <t>6Ø77/80+2Ø45</t>
  </si>
  <si>
    <t>2Ø33</t>
  </si>
  <si>
    <t>1Ø60+1Ø45</t>
  </si>
  <si>
    <t>12Ø45</t>
  </si>
  <si>
    <t>1Ø150+Ciment:1Ø150(T)</t>
  </si>
  <si>
    <t>10Ø60</t>
  </si>
  <si>
    <t>PEHD:1Ø33</t>
  </si>
  <si>
    <t>2Ø45+PEHD:1Ø40</t>
  </si>
  <si>
    <t>20Ø33</t>
  </si>
  <si>
    <t>4Ø77/80+3Ø45</t>
  </si>
  <si>
    <t>6Ø150</t>
  </si>
  <si>
    <t>3Ø77/80+2Ø45</t>
  </si>
  <si>
    <t>PEHD:2Ø33</t>
  </si>
  <si>
    <t>10Ø45</t>
  </si>
  <si>
    <t>6Ø77/80+6Ø45</t>
  </si>
  <si>
    <t>1Ø45+PEHD:1Ø60</t>
  </si>
  <si>
    <t>3Ø75/80+4Ø45</t>
  </si>
  <si>
    <t>PEHD:1Ø50</t>
  </si>
  <si>
    <t>4Ø28</t>
  </si>
  <si>
    <t>10Ø77/80</t>
  </si>
  <si>
    <t>1Ø45+Ciment:1Ø150</t>
  </si>
  <si>
    <t>PEHD:1Ø60</t>
  </si>
  <si>
    <t>6Ø60</t>
  </si>
  <si>
    <t>50Ø77/80</t>
  </si>
  <si>
    <t>2Ø77/80</t>
  </si>
  <si>
    <t>1Ø150+6Ø77/80+4Ø45</t>
  </si>
  <si>
    <t>3Ø45+Ciment:1Ø120</t>
  </si>
  <si>
    <t>3Ø75/80</t>
  </si>
  <si>
    <t>2Ø18</t>
  </si>
  <si>
    <t>2Ø150(T)</t>
  </si>
  <si>
    <t>4Ø60</t>
  </si>
  <si>
    <t>Ciment:1Ø200(T)</t>
  </si>
  <si>
    <t>3Ø77/80+3Ø45</t>
  </si>
  <si>
    <t>Ciment:1Ø100(T)</t>
  </si>
  <si>
    <t>7Ø45+Ciment:1Ø120(T)</t>
  </si>
  <si>
    <t>3Ø75/80+1Ø60+5Ø45</t>
  </si>
  <si>
    <t>2 Ø28</t>
  </si>
  <si>
    <t>3Ø77/80+4Ø45</t>
  </si>
  <si>
    <t>9Ø77/80+4Ø45</t>
  </si>
  <si>
    <t>1Ø33</t>
  </si>
  <si>
    <t>PEHD:1Ø50+3Ø40</t>
  </si>
  <si>
    <t>6Ø75/80</t>
  </si>
  <si>
    <t>Ciment:1Ø120(T)</t>
  </si>
  <si>
    <t>2Ø45+Ciment:1Ø150</t>
  </si>
  <si>
    <t>4Ø75/80+4Ø45</t>
  </si>
  <si>
    <t>2Ø45+PEHD:1Ø50</t>
  </si>
  <si>
    <t>8Ø77/80</t>
  </si>
  <si>
    <t>1Ø100+3Ø33</t>
  </si>
  <si>
    <t>3Ø60+1Ø45</t>
  </si>
  <si>
    <t>4Ø77/80+4Ø45</t>
  </si>
  <si>
    <t>4Ø77/80</t>
  </si>
  <si>
    <t>2Ø45+1Ø18</t>
  </si>
  <si>
    <t>1Ø75/80</t>
  </si>
  <si>
    <t>6Ø75/80+3Ø45</t>
  </si>
  <si>
    <t>2Ø75/80</t>
  </si>
  <si>
    <t>5Ø60+2Ø45</t>
  </si>
  <si>
    <t>1Ø45(T)</t>
  </si>
  <si>
    <t>2Ø28+PEHD:1Ø40</t>
  </si>
  <si>
    <t>20Ø77/80+6Ø45</t>
  </si>
  <si>
    <t>4Ø75/80+3Ø45</t>
  </si>
  <si>
    <t>6Ø75/80+2Ø45</t>
  </si>
  <si>
    <t>5Ø77/80+4Ø45</t>
  </si>
  <si>
    <t>Ciment:1Ø200</t>
  </si>
  <si>
    <t>PEHD:4Ø40</t>
  </si>
  <si>
    <t>2Ø45+PEHD:3Ø50</t>
  </si>
  <si>
    <t>3Ø77/80+6Ø45</t>
  </si>
  <si>
    <t>3Ø100</t>
  </si>
  <si>
    <t>1 Ø45</t>
  </si>
  <si>
    <t>4Ø60+5Ø45</t>
  </si>
  <si>
    <t>PEHD:2Ø40</t>
  </si>
  <si>
    <t>1Ø150+6Ø75/80</t>
  </si>
  <si>
    <t>4Ø75/80+2Ø45</t>
  </si>
  <si>
    <t>2Ø60+7Ø45</t>
  </si>
  <si>
    <t>8Ø45</t>
  </si>
  <si>
    <t>8Ø28</t>
  </si>
  <si>
    <t>6Ø77/80</t>
  </si>
  <si>
    <t>8Ø77/80+4Ø45</t>
  </si>
  <si>
    <t>PEHD:3Ø60</t>
  </si>
  <si>
    <t>6Ø77/80+3Ø45</t>
  </si>
  <si>
    <t>PEHD:2Ø60</t>
  </si>
  <si>
    <t>2Ø60+4Ø45+PEHD:1Ø50</t>
  </si>
  <si>
    <t>L3C</t>
  </si>
  <si>
    <t>L4P</t>
  </si>
  <si>
    <t>REG</t>
  </si>
  <si>
    <t>INT</t>
  </si>
  <si>
    <t>L2P</t>
  </si>
  <si>
    <t>A/2</t>
  </si>
  <si>
    <t>D4C</t>
  </si>
  <si>
    <t>L2C</t>
  </si>
  <si>
    <t>30X</t>
  </si>
  <si>
    <t>B3</t>
  </si>
  <si>
    <t>P2C</t>
  </si>
  <si>
    <t>L1P</t>
  </si>
  <si>
    <t>L4C</t>
  </si>
  <si>
    <t>SPE</t>
  </si>
  <si>
    <t>SPÉ</t>
  </si>
  <si>
    <t>L3P</t>
  </si>
  <si>
    <t>01A</t>
  </si>
  <si>
    <t>D4T</t>
  </si>
  <si>
    <t>INC</t>
  </si>
  <si>
    <t>M3C</t>
  </si>
  <si>
    <t>D12</t>
  </si>
  <si>
    <t>D2SP</t>
  </si>
  <si>
    <t>CH</t>
  </si>
  <si>
    <t>A2a</t>
  </si>
  <si>
    <t>D1A</t>
  </si>
  <si>
    <t>D1B</t>
  </si>
  <si>
    <t>D2s</t>
  </si>
  <si>
    <t>SNCF</t>
  </si>
  <si>
    <t>L6P</t>
  </si>
  <si>
    <t>1/2 A1</t>
  </si>
  <si>
    <t>PAX111</t>
  </si>
  <si>
    <t>R</t>
  </si>
  <si>
    <t>60x60</t>
  </si>
  <si>
    <t>D1as</t>
  </si>
  <si>
    <t>ch privee</t>
  </si>
  <si>
    <t>CANIVEAU TRN</t>
  </si>
  <si>
    <t>RDD7</t>
  </si>
  <si>
    <t>L5P</t>
  </si>
  <si>
    <t>TA</t>
  </si>
  <si>
    <t>LOT</t>
  </si>
  <si>
    <t>L0P</t>
  </si>
  <si>
    <t>PAX</t>
  </si>
  <si>
    <t>A3a</t>
  </si>
  <si>
    <t>D1a</t>
  </si>
  <si>
    <t>A3A</t>
  </si>
  <si>
    <t>1/2a1</t>
  </si>
  <si>
    <t>A4A</t>
  </si>
  <si>
    <t>regard</t>
  </si>
  <si>
    <t>90x90</t>
  </si>
  <si>
    <t>A4a</t>
  </si>
  <si>
    <t>D1b</t>
  </si>
  <si>
    <t>1/2L4P</t>
  </si>
  <si>
    <t>DR5</t>
  </si>
  <si>
    <t>A2A</t>
  </si>
  <si>
    <t>LOP</t>
  </si>
  <si>
    <t>CH privee</t>
  </si>
  <si>
    <t>1/2 D1A</t>
  </si>
  <si>
    <t>TB</t>
  </si>
  <si>
    <t>60x50</t>
  </si>
  <si>
    <t>1/2A1</t>
  </si>
  <si>
    <t>Sp</t>
  </si>
  <si>
    <t>DR3</t>
  </si>
  <si>
    <t>TB.</t>
  </si>
  <si>
    <t>CANIVEAU</t>
  </si>
  <si>
    <t>LGD</t>
  </si>
  <si>
    <t>TM</t>
  </si>
  <si>
    <t>DIAS</t>
  </si>
  <si>
    <t>POA10</t>
  </si>
  <si>
    <t>RG</t>
  </si>
  <si>
    <t>1/2L4T</t>
  </si>
  <si>
    <t>D1AS</t>
  </si>
  <si>
    <t>LIP</t>
  </si>
  <si>
    <t>TAB</t>
  </si>
  <si>
    <t>REGARD</t>
  </si>
  <si>
    <t>A1a</t>
  </si>
  <si>
    <t>chambre_a</t>
  </si>
  <si>
    <t>type_chb_a</t>
  </si>
  <si>
    <t>implant_a</t>
  </si>
  <si>
    <t>chambre_b</t>
  </si>
  <si>
    <t>type_chb_b</t>
  </si>
  <si>
    <t>implant_b</t>
  </si>
  <si>
    <t>id_cable</t>
  </si>
  <si>
    <t>composition</t>
  </si>
  <si>
    <t>type_reseau</t>
  </si>
  <si>
    <t>longueur</t>
  </si>
  <si>
    <t>proprietaire</t>
  </si>
  <si>
    <t>percement_a</t>
  </si>
  <si>
    <t>percement_b</t>
  </si>
  <si>
    <t>diam_alveole</t>
  </si>
  <si>
    <t>occup_alv</t>
  </si>
  <si>
    <t>perc_occup</t>
  </si>
  <si>
    <t>classement</t>
  </si>
  <si>
    <t>Orange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</si>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</sst>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2" fontId="0" fillId="0" borderId="0" xfId="0" applyNumberFormat="1"/>
    <xf numFmtId="2" fontId="0" fillId="2" borderId="0" xfId="0" applyNumberFormat="1" applyFill="1"/>
    <xf numFmtId="2" fontId="0" fillId="3" borderId="0" xfId="0" applyNumberFormat="1" applyFill="1"/>
    <xf numFmtId="0" fontId="0" fillId="3" borderId="0" xfId="0" applyFill="1"/>
    <xf numFmtId="0" fontId="0" fillId="3" borderId="0" xfId="0" quotePrefix="1" applyFill="1"/>
    <xf numFmtId="2" fontId="0" fillId="0" borderId="0" xfId="0" applyNumberFormat="1" applyFill="1"/>
    <xf numFmtId="2" fontId="1" fillId="0" borderId="0" xfId="0" applyNumberFormat="1" applyFont="1" applyFill="1"/>
    <xf numFmtId="0" fontId="1" fillId="0" borderId="0" xfId="0" applyFont="1" applyFill="1"/>
    <xf numFmtId="0" fontId="1" fillId="0" borderId="0" xfId="0" quotePrefix="1" applyFont="1" applyFill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0" borderId="4" xfId="0" quotePrefix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7" borderId="6" xfId="0" applyFill="1" applyBorder="1"/>
    <xf numFmtId="0" fontId="0" fillId="5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8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64" fontId="1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" fillId="0" borderId="0" xfId="0" quotePrefix="1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12" borderId="0" xfId="0" applyFill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20" fontId="0" fillId="0" borderId="7" xfId="0" applyNumberForma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6" borderId="15" xfId="0" applyFont="1" applyFill="1" applyBorder="1" applyAlignment="1">
      <alignment horizontal="right" vertical="center"/>
    </xf>
    <xf numFmtId="0" fontId="3" fillId="6" borderId="16" xfId="0" applyFont="1" applyFill="1" applyBorder="1" applyAlignment="1">
      <alignment horizontal="right" vertical="center"/>
    </xf>
    <xf numFmtId="0" fontId="3" fillId="6" borderId="17" xfId="0" applyFont="1" applyFill="1" applyBorder="1" applyAlignment="1">
      <alignment horizontal="right"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1" fillId="6" borderId="5" xfId="0" applyFont="1" applyFill="1" applyBorder="1" applyAlignment="1">
      <alignment horizontal="right" vertical="center"/>
    </xf>
    <xf numFmtId="0" fontId="1" fillId="6" borderId="6" xfId="0" applyFont="1" applyFill="1" applyBorder="1" applyAlignment="1">
      <alignment horizontal="right" vertical="center"/>
    </xf>
    <xf numFmtId="0" fontId="1" fillId="6" borderId="19" xfId="0" applyFont="1" applyFill="1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1" fillId="6" borderId="9" xfId="0" applyFont="1" applyFill="1" applyBorder="1" applyAlignment="1">
      <alignment horizontal="right"/>
    </xf>
    <xf numFmtId="0" fontId="1" fillId="6" borderId="10" xfId="0" applyFont="1" applyFill="1" applyBorder="1" applyAlignment="1">
      <alignment horizontal="right"/>
    </xf>
    <xf numFmtId="0" fontId="1" fillId="6" borderId="20" xfId="0" applyFont="1" applyFill="1" applyBorder="1" applyAlignment="1">
      <alignment horizontal="righ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9" fontId="6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9" fontId="9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1" fillId="5" borderId="23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27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44</xdr:row>
      <xdr:rowOff>0</xdr:rowOff>
    </xdr:from>
    <xdr:to>
      <xdr:col>6</xdr:col>
      <xdr:colOff>142875</xdr:colOff>
      <xdr:row>45</xdr:row>
      <xdr:rowOff>114300</xdr:rowOff>
    </xdr:to>
    <xdr:sp macro="" textlink="">
      <xdr:nvSpPr>
        <xdr:cNvPr id="2" name="Image 2" descr="cid:663311916@03012012-2FF3">
          <a:extLst>
            <a:ext uri="{FF2B5EF4-FFF2-40B4-BE49-F238E27FC236}">
              <a16:creationId xmlns:a16="http://schemas.microsoft.com/office/drawing/2014/main" id="{8ADF6903-071E-4014-A4B5-11E3C3842015}"/>
            </a:ext>
          </a:extLst>
        </xdr:cNvPr>
        <xdr:cNvSpPr>
          <a:spLocks noChangeAspect="1" noChangeArrowheads="1"/>
        </xdr:cNvSpPr>
      </xdr:nvSpPr>
      <xdr:spPr bwMode="auto">
        <a:xfrm>
          <a:off x="2190750" y="10163175"/>
          <a:ext cx="11715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200025</xdr:colOff>
      <xdr:row>54</xdr:row>
      <xdr:rowOff>180975</xdr:rowOff>
    </xdr:from>
    <xdr:to>
      <xdr:col>9</xdr:col>
      <xdr:colOff>85725</xdr:colOff>
      <xdr:row>57</xdr:row>
      <xdr:rowOff>76200</xdr:rowOff>
    </xdr:to>
    <xdr:pic>
      <xdr:nvPicPr>
        <xdr:cNvPr id="3" name="Image 1">
          <a:extLst>
            <a:ext uri="{FF2B5EF4-FFF2-40B4-BE49-F238E27FC236}">
              <a16:creationId xmlns:a16="http://schemas.microsoft.com/office/drawing/2014/main" id="{EC9BCFE1-1FA2-439C-95B8-D27D47E23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000" b="25999"/>
        <a:stretch>
          <a:fillRect/>
        </a:stretch>
      </xdr:blipFill>
      <xdr:spPr bwMode="auto">
        <a:xfrm>
          <a:off x="3419475" y="12249150"/>
          <a:ext cx="14287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247650</xdr:colOff>
      <xdr:row>2</xdr:row>
      <xdr:rowOff>0</xdr:rowOff>
    </xdr:from>
    <xdr:to>
      <xdr:col>12</xdr:col>
      <xdr:colOff>161925</xdr:colOff>
      <xdr:row>6</xdr:row>
      <xdr:rowOff>76200</xdr:rowOff>
    </xdr:to>
    <xdr:pic>
      <xdr:nvPicPr>
        <xdr:cNvPr id="4" name="Image 2">
          <a:extLst>
            <a:ext uri="{FF2B5EF4-FFF2-40B4-BE49-F238E27FC236}">
              <a16:creationId xmlns:a16="http://schemas.microsoft.com/office/drawing/2014/main" id="{83235CE5-3E46-44FA-8CCF-623086A78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1000"/>
          <a:ext cx="4029075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E12"/>
  <sheetViews>
    <sheetView workbookViewId="0">
      <selection activeCell="E14" sqref="E14"/>
    </sheetView>
  </sheetViews>
  <sheetFormatPr baseColWidth="10" defaultRowHeight="15" x14ac:dyDescent="0.25"/>
  <cols>
    <col min="1" max="1" width="21.42578125" bestFit="1" customWidth="1"/>
    <col min="2" max="2" width="7.85546875" bestFit="1" customWidth="1"/>
    <col min="3" max="3" width="7.7109375" bestFit="1" customWidth="1"/>
    <col min="4" max="4" width="6.5703125" customWidth="1"/>
    <col min="5" max="5" width="38" bestFit="1" customWidth="1"/>
  </cols>
  <sheetData>
    <row r="2" spans="1:5" x14ac:dyDescent="0.25">
      <c r="A2" t="s">
        <v>0</v>
      </c>
      <c r="B2" t="s">
        <v>1</v>
      </c>
    </row>
    <row r="3" spans="1:5" x14ac:dyDescent="0.25">
      <c r="A3" s="3">
        <v>25</v>
      </c>
      <c r="B3" s="3">
        <v>6</v>
      </c>
      <c r="C3" s="2">
        <f>(B3*100)/A3</f>
        <v>24</v>
      </c>
      <c r="D3" s="7" t="s">
        <v>9</v>
      </c>
      <c r="E3" t="s">
        <v>3</v>
      </c>
    </row>
    <row r="4" spans="1:5" x14ac:dyDescent="0.25">
      <c r="A4" s="3">
        <v>2783</v>
      </c>
      <c r="B4" s="3">
        <v>550</v>
      </c>
      <c r="C4" s="2">
        <f>(B4*100)/A4</f>
        <v>19.762845849802371</v>
      </c>
      <c r="D4" s="7" t="s">
        <v>9</v>
      </c>
      <c r="E4" t="s">
        <v>2</v>
      </c>
    </row>
    <row r="5" spans="1:5" x14ac:dyDescent="0.25">
      <c r="A5" s="1">
        <f>A4</f>
        <v>2783</v>
      </c>
      <c r="B5" s="3">
        <v>1841</v>
      </c>
      <c r="C5" s="2">
        <f>(B5*100)/A4</f>
        <v>66.151634926338488</v>
      </c>
      <c r="D5" s="7" t="s">
        <v>9</v>
      </c>
      <c r="E5" t="s">
        <v>11</v>
      </c>
    </row>
    <row r="6" spans="1:5" x14ac:dyDescent="0.25">
      <c r="A6" s="1">
        <f>A5</f>
        <v>2783</v>
      </c>
      <c r="B6" s="3">
        <v>392</v>
      </c>
      <c r="C6" s="2">
        <f>(B6*100)/A4</f>
        <v>14.085519223859144</v>
      </c>
      <c r="D6" s="7" t="s">
        <v>9</v>
      </c>
      <c r="E6" t="s">
        <v>10</v>
      </c>
    </row>
    <row r="7" spans="1:5" x14ac:dyDescent="0.25">
      <c r="B7" s="1">
        <f>SUM(B4:B6)</f>
        <v>2783</v>
      </c>
      <c r="D7" s="8"/>
    </row>
    <row r="8" spans="1:5" x14ac:dyDescent="0.25">
      <c r="A8" t="s">
        <v>4</v>
      </c>
      <c r="B8" s="6"/>
      <c r="C8" s="4"/>
      <c r="D8" s="8"/>
    </row>
    <row r="9" spans="1:5" x14ac:dyDescent="0.25">
      <c r="A9" t="s">
        <v>5</v>
      </c>
      <c r="C9" s="4"/>
      <c r="D9" s="8"/>
    </row>
    <row r="10" spans="1:5" x14ac:dyDescent="0.25">
      <c r="A10" t="s">
        <v>6</v>
      </c>
      <c r="C10" s="4"/>
      <c r="D10" s="8"/>
    </row>
    <row r="11" spans="1:5" x14ac:dyDescent="0.25">
      <c r="A11" t="s">
        <v>7</v>
      </c>
      <c r="C11" s="4"/>
      <c r="D11" s="8"/>
    </row>
    <row r="12" spans="1:5" x14ac:dyDescent="0.25">
      <c r="A12" t="s">
        <v>8</v>
      </c>
      <c r="C12" s="5"/>
      <c r="D12" s="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281"/>
  <sheetViews>
    <sheetView topLeftCell="H14" zoomScaleNormal="100" workbookViewId="0">
      <selection activeCell="N105" sqref="N105"/>
    </sheetView>
  </sheetViews>
  <sheetFormatPr baseColWidth="10" defaultRowHeight="15" x14ac:dyDescent="0.25"/>
  <cols>
    <col min="7" max="7" width="8" bestFit="1" customWidth="1"/>
    <col min="8" max="8" width="24.7109375" bestFit="1" customWidth="1"/>
    <col min="10" max="10" width="38" bestFit="1" customWidth="1"/>
    <col min="11" max="11" width="38" customWidth="1"/>
    <col min="14" max="14" width="24.7109375" bestFit="1" customWidth="1"/>
    <col min="15" max="15" width="38.7109375" bestFit="1" customWidth="1"/>
    <col min="17" max="17" width="24.7109375" bestFit="1" customWidth="1"/>
    <col min="18" max="18" width="14.42578125" bestFit="1" customWidth="1"/>
    <col min="20" max="20" width="16.5703125" bestFit="1" customWidth="1"/>
    <col min="21" max="21" width="16.42578125" bestFit="1" customWidth="1"/>
  </cols>
  <sheetData>
    <row r="1" spans="1:21" x14ac:dyDescent="0.25">
      <c r="A1" s="52" t="s">
        <v>56</v>
      </c>
      <c r="B1" s="52" t="s">
        <v>55</v>
      </c>
      <c r="D1" s="52" t="s">
        <v>57</v>
      </c>
      <c r="E1" s="52"/>
      <c r="G1" s="52" t="s">
        <v>150</v>
      </c>
      <c r="H1" s="52" t="s">
        <v>91</v>
      </c>
      <c r="I1" s="52"/>
      <c r="J1" s="52"/>
      <c r="K1" s="52"/>
      <c r="N1" s="52"/>
      <c r="O1" s="52" t="s">
        <v>98</v>
      </c>
      <c r="Q1" s="52"/>
      <c r="R1" s="52" t="s">
        <v>149</v>
      </c>
      <c r="T1" t="s">
        <v>151</v>
      </c>
      <c r="U1" t="s">
        <v>152</v>
      </c>
    </row>
    <row r="2" spans="1:21" x14ac:dyDescent="0.25">
      <c r="A2" t="s">
        <v>17</v>
      </c>
      <c r="B2" t="s">
        <v>12</v>
      </c>
      <c r="D2" t="s">
        <v>58</v>
      </c>
      <c r="E2" t="s">
        <v>5</v>
      </c>
      <c r="G2" t="s">
        <v>122</v>
      </c>
      <c r="H2" s="51" t="s">
        <v>110</v>
      </c>
      <c r="I2" s="36" t="s">
        <v>122</v>
      </c>
      <c r="J2" s="35"/>
      <c r="K2" s="37" t="s">
        <v>10</v>
      </c>
      <c r="N2" s="51" t="s">
        <v>110</v>
      </c>
      <c r="O2" s="38" t="s">
        <v>10</v>
      </c>
      <c r="Q2" s="51" t="s">
        <v>110</v>
      </c>
      <c r="R2" s="37" t="s">
        <v>105</v>
      </c>
      <c r="T2" t="s">
        <v>103</v>
      </c>
      <c r="U2" t="s">
        <v>104</v>
      </c>
    </row>
    <row r="3" spans="1:21" x14ac:dyDescent="0.25">
      <c r="A3" t="s">
        <v>18</v>
      </c>
      <c r="B3" t="s">
        <v>12</v>
      </c>
      <c r="D3" t="s">
        <v>59</v>
      </c>
      <c r="E3" t="s">
        <v>6</v>
      </c>
      <c r="G3" t="s">
        <v>123</v>
      </c>
      <c r="H3" s="51" t="s">
        <v>67</v>
      </c>
      <c r="I3" s="36" t="s">
        <v>122</v>
      </c>
      <c r="J3" s="35"/>
      <c r="K3" s="37" t="s">
        <v>10</v>
      </c>
      <c r="N3" s="51" t="s">
        <v>67</v>
      </c>
      <c r="O3" s="38" t="s">
        <v>10</v>
      </c>
      <c r="Q3" s="51" t="s">
        <v>67</v>
      </c>
      <c r="R3" s="37" t="s">
        <v>105</v>
      </c>
      <c r="T3" t="s">
        <v>104</v>
      </c>
    </row>
    <row r="4" spans="1:21" x14ac:dyDescent="0.25">
      <c r="A4" t="s">
        <v>19</v>
      </c>
      <c r="B4" t="s">
        <v>12</v>
      </c>
      <c r="H4" s="51" t="s">
        <v>145</v>
      </c>
      <c r="I4" s="36" t="s">
        <v>122</v>
      </c>
      <c r="J4" s="35"/>
      <c r="K4" s="37" t="s">
        <v>10</v>
      </c>
      <c r="N4" s="51" t="s">
        <v>145</v>
      </c>
      <c r="O4" s="38" t="s">
        <v>10</v>
      </c>
      <c r="Q4" s="51" t="s">
        <v>145</v>
      </c>
      <c r="R4" s="37" t="s">
        <v>105</v>
      </c>
    </row>
    <row r="5" spans="1:21" x14ac:dyDescent="0.25">
      <c r="A5" t="s">
        <v>20</v>
      </c>
      <c r="B5" t="s">
        <v>12</v>
      </c>
      <c r="D5" t="s">
        <v>61</v>
      </c>
      <c r="E5" t="s">
        <v>60</v>
      </c>
      <c r="G5" t="s">
        <v>124</v>
      </c>
      <c r="H5" s="51" t="s">
        <v>120</v>
      </c>
      <c r="I5" s="36" t="s">
        <v>122</v>
      </c>
      <c r="J5" s="35"/>
      <c r="K5" s="37" t="s">
        <v>10</v>
      </c>
      <c r="N5" s="51" t="s">
        <v>120</v>
      </c>
      <c r="O5" s="38" t="s">
        <v>10</v>
      </c>
      <c r="Q5" s="51" t="s">
        <v>120</v>
      </c>
      <c r="R5" s="37" t="s">
        <v>105</v>
      </c>
    </row>
    <row r="6" spans="1:21" x14ac:dyDescent="0.25">
      <c r="A6" t="s">
        <v>21</v>
      </c>
      <c r="B6" t="s">
        <v>12</v>
      </c>
      <c r="D6" t="s">
        <v>62</v>
      </c>
      <c r="E6" t="s">
        <v>7</v>
      </c>
      <c r="H6" s="51" t="s">
        <v>128</v>
      </c>
      <c r="I6" s="36" t="s">
        <v>122</v>
      </c>
      <c r="J6" s="35"/>
      <c r="K6" s="37" t="s">
        <v>10</v>
      </c>
      <c r="N6" s="51" t="s">
        <v>128</v>
      </c>
      <c r="O6" s="38" t="s">
        <v>10</v>
      </c>
      <c r="Q6" s="51" t="s">
        <v>128</v>
      </c>
      <c r="R6" s="37" t="s">
        <v>105</v>
      </c>
    </row>
    <row r="7" spans="1:21" x14ac:dyDescent="0.25">
      <c r="A7" t="s">
        <v>22</v>
      </c>
      <c r="B7" t="s">
        <v>12</v>
      </c>
      <c r="E7" t="s">
        <v>16</v>
      </c>
      <c r="H7" s="51" t="s">
        <v>113</v>
      </c>
      <c r="I7" s="36" t="s">
        <v>122</v>
      </c>
      <c r="J7" s="35"/>
      <c r="K7" s="37" t="s">
        <v>10</v>
      </c>
      <c r="N7" s="51" t="s">
        <v>113</v>
      </c>
      <c r="O7" s="38" t="s">
        <v>10</v>
      </c>
      <c r="Q7" s="51" t="s">
        <v>113</v>
      </c>
      <c r="R7" s="37" t="s">
        <v>105</v>
      </c>
    </row>
    <row r="8" spans="1:21" x14ac:dyDescent="0.25">
      <c r="A8" t="s">
        <v>23</v>
      </c>
      <c r="B8" t="s">
        <v>12</v>
      </c>
      <c r="H8" s="51" t="s">
        <v>109</v>
      </c>
      <c r="I8" s="36" t="s">
        <v>122</v>
      </c>
      <c r="J8" s="35"/>
      <c r="K8" s="37" t="s">
        <v>10</v>
      </c>
      <c r="N8" s="51" t="s">
        <v>109</v>
      </c>
      <c r="O8" s="38" t="s">
        <v>10</v>
      </c>
      <c r="Q8" s="51" t="s">
        <v>109</v>
      </c>
      <c r="R8" s="37" t="s">
        <v>105</v>
      </c>
    </row>
    <row r="9" spans="1:21" x14ac:dyDescent="0.25">
      <c r="A9" t="s">
        <v>24</v>
      </c>
      <c r="B9" t="s">
        <v>12</v>
      </c>
      <c r="H9" s="51" t="s">
        <v>66</v>
      </c>
      <c r="I9" s="36" t="s">
        <v>122</v>
      </c>
      <c r="J9" s="35"/>
      <c r="K9" s="37" t="s">
        <v>10</v>
      </c>
      <c r="N9" s="51" t="s">
        <v>66</v>
      </c>
      <c r="O9" s="38" t="s">
        <v>10</v>
      </c>
      <c r="Q9" s="51" t="s">
        <v>66</v>
      </c>
      <c r="R9" s="37" t="s">
        <v>105</v>
      </c>
    </row>
    <row r="10" spans="1:21" x14ac:dyDescent="0.25">
      <c r="A10" t="s">
        <v>25</v>
      </c>
      <c r="B10" t="s">
        <v>12</v>
      </c>
      <c r="H10" s="53" t="s">
        <v>154</v>
      </c>
      <c r="I10" s="36" t="s">
        <v>122</v>
      </c>
      <c r="J10" s="35"/>
      <c r="K10" s="37" t="s">
        <v>10</v>
      </c>
      <c r="N10" s="53" t="s">
        <v>154</v>
      </c>
      <c r="O10" s="38" t="s">
        <v>10</v>
      </c>
      <c r="Q10" s="53" t="s">
        <v>154</v>
      </c>
      <c r="R10" s="37" t="s">
        <v>105</v>
      </c>
    </row>
    <row r="11" spans="1:21" x14ac:dyDescent="0.25">
      <c r="A11" t="s">
        <v>26</v>
      </c>
      <c r="B11" t="s">
        <v>12</v>
      </c>
      <c r="H11" s="53" t="s">
        <v>158</v>
      </c>
      <c r="I11" s="36" t="s">
        <v>122</v>
      </c>
      <c r="J11" s="35"/>
      <c r="K11" s="37" t="s">
        <v>10</v>
      </c>
      <c r="N11" s="53" t="s">
        <v>158</v>
      </c>
      <c r="O11" s="38" t="s">
        <v>10</v>
      </c>
      <c r="Q11" s="53" t="s">
        <v>158</v>
      </c>
      <c r="R11" s="37" t="s">
        <v>105</v>
      </c>
    </row>
    <row r="12" spans="1:21" x14ac:dyDescent="0.25">
      <c r="A12" t="s">
        <v>27</v>
      </c>
      <c r="B12" t="s">
        <v>12</v>
      </c>
      <c r="H12" s="53" t="s">
        <v>66</v>
      </c>
      <c r="I12" s="36" t="s">
        <v>122</v>
      </c>
      <c r="J12" s="35"/>
      <c r="K12" s="37" t="s">
        <v>10</v>
      </c>
      <c r="N12" s="53" t="s">
        <v>66</v>
      </c>
      <c r="O12" s="38" t="s">
        <v>10</v>
      </c>
      <c r="Q12" s="53" t="s">
        <v>66</v>
      </c>
      <c r="R12" s="37" t="s">
        <v>105</v>
      </c>
    </row>
    <row r="13" spans="1:21" x14ac:dyDescent="0.25">
      <c r="A13" t="s">
        <v>28</v>
      </c>
      <c r="B13" t="s">
        <v>12</v>
      </c>
      <c r="H13" s="53" t="s">
        <v>128</v>
      </c>
      <c r="I13" s="36" t="s">
        <v>122</v>
      </c>
      <c r="J13" s="35"/>
      <c r="K13" s="37" t="s">
        <v>10</v>
      </c>
      <c r="N13" s="53" t="s">
        <v>128</v>
      </c>
      <c r="O13" s="38" t="s">
        <v>10</v>
      </c>
      <c r="Q13" s="53" t="s">
        <v>128</v>
      </c>
      <c r="R13" s="38" t="s">
        <v>105</v>
      </c>
    </row>
    <row r="14" spans="1:21" x14ac:dyDescent="0.25">
      <c r="A14" t="s">
        <v>29</v>
      </c>
      <c r="B14" t="s">
        <v>12</v>
      </c>
      <c r="H14" s="53" t="s">
        <v>171</v>
      </c>
      <c r="I14" s="36" t="s">
        <v>122</v>
      </c>
      <c r="J14" s="35"/>
      <c r="K14" s="37" t="s">
        <v>10</v>
      </c>
      <c r="N14" s="53" t="s">
        <v>171</v>
      </c>
      <c r="O14" s="38" t="s">
        <v>10</v>
      </c>
      <c r="Q14" s="53" t="s">
        <v>171</v>
      </c>
      <c r="R14" s="38" t="s">
        <v>105</v>
      </c>
    </row>
    <row r="15" spans="1:21" x14ac:dyDescent="0.25">
      <c r="A15" t="s">
        <v>30</v>
      </c>
      <c r="B15" t="s">
        <v>12</v>
      </c>
      <c r="H15" s="53" t="s">
        <v>173</v>
      </c>
      <c r="I15" s="36" t="s">
        <v>122</v>
      </c>
      <c r="J15" s="35"/>
      <c r="K15" s="37" t="s">
        <v>10</v>
      </c>
      <c r="N15" s="53" t="s">
        <v>173</v>
      </c>
      <c r="O15" s="38" t="s">
        <v>10</v>
      </c>
      <c r="Q15" s="53" t="s">
        <v>173</v>
      </c>
      <c r="R15" s="38" t="s">
        <v>105</v>
      </c>
    </row>
    <row r="16" spans="1:21" x14ac:dyDescent="0.25">
      <c r="A16" t="s">
        <v>31</v>
      </c>
      <c r="B16" t="s">
        <v>12</v>
      </c>
      <c r="H16" s="53" t="s">
        <v>178</v>
      </c>
      <c r="I16" s="36" t="s">
        <v>122</v>
      </c>
      <c r="J16" s="35"/>
      <c r="K16" s="37" t="s">
        <v>10</v>
      </c>
      <c r="N16" s="53" t="s">
        <v>178</v>
      </c>
      <c r="O16" s="38" t="s">
        <v>10</v>
      </c>
      <c r="Q16" s="53" t="s">
        <v>178</v>
      </c>
      <c r="R16" s="38" t="s">
        <v>105</v>
      </c>
    </row>
    <row r="17" spans="1:18" x14ac:dyDescent="0.25">
      <c r="A17" t="s">
        <v>153</v>
      </c>
      <c r="B17" t="s">
        <v>15</v>
      </c>
      <c r="H17" s="53" t="s">
        <v>179</v>
      </c>
      <c r="I17" s="36" t="s">
        <v>122</v>
      </c>
      <c r="J17" s="35"/>
      <c r="K17" s="37" t="s">
        <v>10</v>
      </c>
      <c r="N17" s="53" t="s">
        <v>179</v>
      </c>
      <c r="O17" s="38" t="s">
        <v>10</v>
      </c>
      <c r="Q17" s="53" t="s">
        <v>179</v>
      </c>
      <c r="R17" s="38" t="s">
        <v>105</v>
      </c>
    </row>
    <row r="18" spans="1:18" x14ac:dyDescent="0.25">
      <c r="A18" t="s">
        <v>68</v>
      </c>
      <c r="B18" t="s">
        <v>12</v>
      </c>
      <c r="H18" s="53" t="s">
        <v>181</v>
      </c>
      <c r="I18" s="36" t="s">
        <v>122</v>
      </c>
      <c r="J18" s="35"/>
      <c r="K18" s="37" t="s">
        <v>10</v>
      </c>
      <c r="N18" s="53" t="s">
        <v>181</v>
      </c>
      <c r="O18" s="38" t="s">
        <v>10</v>
      </c>
      <c r="Q18" s="53" t="s">
        <v>181</v>
      </c>
      <c r="R18" s="38" t="s">
        <v>105</v>
      </c>
    </row>
    <row r="19" spans="1:18" x14ac:dyDescent="0.25">
      <c r="A19" t="s">
        <v>32</v>
      </c>
      <c r="B19" t="s">
        <v>12</v>
      </c>
      <c r="H19" s="53" t="s">
        <v>191</v>
      </c>
      <c r="I19" s="36" t="s">
        <v>122</v>
      </c>
      <c r="J19" s="35"/>
      <c r="K19" s="37" t="s">
        <v>10</v>
      </c>
      <c r="N19" s="53" t="s">
        <v>191</v>
      </c>
      <c r="O19" s="38" t="s">
        <v>10</v>
      </c>
      <c r="Q19" s="53" t="s">
        <v>191</v>
      </c>
      <c r="R19" s="38" t="s">
        <v>105</v>
      </c>
    </row>
    <row r="20" spans="1:18" ht="15.75" customHeight="1" x14ac:dyDescent="0.25">
      <c r="A20" t="s">
        <v>33</v>
      </c>
      <c r="B20" t="s">
        <v>12</v>
      </c>
      <c r="H20" s="53" t="s">
        <v>202</v>
      </c>
      <c r="I20" s="36" t="s">
        <v>122</v>
      </c>
      <c r="J20" s="35"/>
      <c r="K20" s="37" t="s">
        <v>10</v>
      </c>
      <c r="N20" s="53" t="s">
        <v>202</v>
      </c>
      <c r="O20" s="38" t="s">
        <v>10</v>
      </c>
      <c r="Q20" s="53" t="s">
        <v>202</v>
      </c>
      <c r="R20" s="38" t="s">
        <v>105</v>
      </c>
    </row>
    <row r="21" spans="1:18" x14ac:dyDescent="0.25">
      <c r="A21" t="s">
        <v>34</v>
      </c>
      <c r="B21" t="s">
        <v>12</v>
      </c>
      <c r="H21" s="53" t="s">
        <v>205</v>
      </c>
      <c r="I21" s="36" t="s">
        <v>122</v>
      </c>
      <c r="J21" s="35"/>
      <c r="K21" s="37" t="s">
        <v>10</v>
      </c>
      <c r="N21" s="53" t="s">
        <v>205</v>
      </c>
      <c r="O21" s="38" t="s">
        <v>10</v>
      </c>
      <c r="Q21" s="53" t="s">
        <v>205</v>
      </c>
      <c r="R21" s="38" t="s">
        <v>105</v>
      </c>
    </row>
    <row r="22" spans="1:18" x14ac:dyDescent="0.25">
      <c r="A22" t="s">
        <v>35</v>
      </c>
      <c r="B22" t="s">
        <v>12</v>
      </c>
      <c r="H22" s="53" t="s">
        <v>206</v>
      </c>
      <c r="I22" s="36" t="s">
        <v>122</v>
      </c>
      <c r="J22" s="35"/>
      <c r="K22" s="37" t="s">
        <v>10</v>
      </c>
      <c r="N22" s="53" t="s">
        <v>206</v>
      </c>
      <c r="O22" s="38" t="s">
        <v>10</v>
      </c>
      <c r="Q22" s="53" t="s">
        <v>206</v>
      </c>
      <c r="R22" s="38" t="s">
        <v>105</v>
      </c>
    </row>
    <row r="23" spans="1:18" x14ac:dyDescent="0.25">
      <c r="A23" t="s">
        <v>36</v>
      </c>
      <c r="B23" t="s">
        <v>12</v>
      </c>
      <c r="H23" s="53" t="s">
        <v>110</v>
      </c>
      <c r="I23" s="36" t="s">
        <v>122</v>
      </c>
      <c r="J23" s="35"/>
      <c r="K23" s="37" t="s">
        <v>10</v>
      </c>
      <c r="N23" s="53" t="s">
        <v>110</v>
      </c>
      <c r="O23" s="38" t="s">
        <v>10</v>
      </c>
      <c r="Q23" s="53" t="s">
        <v>110</v>
      </c>
      <c r="R23" s="38" t="s">
        <v>105</v>
      </c>
    </row>
    <row r="24" spans="1:18" x14ac:dyDescent="0.25">
      <c r="A24" t="s">
        <v>37</v>
      </c>
      <c r="B24" t="s">
        <v>12</v>
      </c>
      <c r="H24" s="53" t="s">
        <v>109</v>
      </c>
      <c r="I24" s="36" t="s">
        <v>122</v>
      </c>
      <c r="J24" s="35"/>
      <c r="K24" s="37" t="s">
        <v>10</v>
      </c>
      <c r="N24" s="53" t="s">
        <v>109</v>
      </c>
      <c r="O24" s="38" t="s">
        <v>10</v>
      </c>
      <c r="Q24" s="53" t="s">
        <v>109</v>
      </c>
      <c r="R24" s="38" t="s">
        <v>105</v>
      </c>
    </row>
    <row r="25" spans="1:18" x14ac:dyDescent="0.25">
      <c r="A25" t="s">
        <v>38</v>
      </c>
      <c r="B25" t="s">
        <v>12</v>
      </c>
      <c r="H25" s="53" t="s">
        <v>232</v>
      </c>
      <c r="I25" s="36" t="s">
        <v>122</v>
      </c>
      <c r="J25" s="35"/>
      <c r="K25" s="37" t="s">
        <v>10</v>
      </c>
      <c r="N25" s="53" t="s">
        <v>232</v>
      </c>
      <c r="O25" s="38" t="s">
        <v>10</v>
      </c>
      <c r="Q25" s="53" t="s">
        <v>232</v>
      </c>
      <c r="R25" s="38" t="s">
        <v>105</v>
      </c>
    </row>
    <row r="26" spans="1:18" x14ac:dyDescent="0.25">
      <c r="A26" t="s">
        <v>39</v>
      </c>
      <c r="B26" t="s">
        <v>12</v>
      </c>
      <c r="H26" s="53" t="s">
        <v>242</v>
      </c>
      <c r="I26" s="36" t="s">
        <v>122</v>
      </c>
      <c r="J26" s="35"/>
      <c r="K26" s="37" t="s">
        <v>10</v>
      </c>
      <c r="N26" s="53" t="s">
        <v>242</v>
      </c>
      <c r="O26" s="38" t="s">
        <v>10</v>
      </c>
      <c r="Q26" s="53" t="s">
        <v>242</v>
      </c>
      <c r="R26" s="38" t="s">
        <v>105</v>
      </c>
    </row>
    <row r="27" spans="1:18" x14ac:dyDescent="0.25">
      <c r="A27" t="s">
        <v>40</v>
      </c>
      <c r="B27" t="s">
        <v>12</v>
      </c>
      <c r="H27" s="53" t="s">
        <v>246</v>
      </c>
      <c r="I27" s="36" t="s">
        <v>122</v>
      </c>
      <c r="J27" s="35"/>
      <c r="K27" s="37" t="s">
        <v>10</v>
      </c>
      <c r="N27" s="53" t="s">
        <v>246</v>
      </c>
      <c r="O27" s="38" t="s">
        <v>10</v>
      </c>
      <c r="Q27" s="53" t="s">
        <v>246</v>
      </c>
      <c r="R27" s="38" t="s">
        <v>105</v>
      </c>
    </row>
    <row r="28" spans="1:18" x14ac:dyDescent="0.25">
      <c r="A28" t="s">
        <v>63</v>
      </c>
      <c r="B28" t="s">
        <v>12</v>
      </c>
      <c r="H28" s="53" t="s">
        <v>248</v>
      </c>
      <c r="I28" s="36" t="s">
        <v>122</v>
      </c>
      <c r="J28" s="35"/>
      <c r="K28" s="37" t="s">
        <v>10</v>
      </c>
      <c r="N28" s="53" t="s">
        <v>248</v>
      </c>
      <c r="O28" s="38" t="s">
        <v>10</v>
      </c>
      <c r="Q28" s="53" t="s">
        <v>248</v>
      </c>
      <c r="R28" s="38" t="s">
        <v>105</v>
      </c>
    </row>
    <row r="29" spans="1:18" x14ac:dyDescent="0.25">
      <c r="A29" t="s">
        <v>41</v>
      </c>
      <c r="B29" t="s">
        <v>12</v>
      </c>
      <c r="H29" s="53" t="s">
        <v>113</v>
      </c>
      <c r="I29" s="36" t="s">
        <v>122</v>
      </c>
      <c r="J29" s="35"/>
      <c r="K29" s="37" t="s">
        <v>10</v>
      </c>
      <c r="N29" s="53" t="s">
        <v>113</v>
      </c>
      <c r="O29" s="38" t="s">
        <v>10</v>
      </c>
      <c r="Q29" s="53" t="s">
        <v>113</v>
      </c>
      <c r="R29" s="38" t="s">
        <v>105</v>
      </c>
    </row>
    <row r="30" spans="1:18" x14ac:dyDescent="0.25">
      <c r="A30" t="s">
        <v>42</v>
      </c>
      <c r="B30" t="s">
        <v>12</v>
      </c>
      <c r="H30" s="53" t="s">
        <v>252</v>
      </c>
      <c r="I30" s="36" t="s">
        <v>122</v>
      </c>
      <c r="J30" s="35"/>
      <c r="K30" s="37" t="s">
        <v>10</v>
      </c>
      <c r="N30" s="53" t="s">
        <v>252</v>
      </c>
      <c r="O30" s="38" t="s">
        <v>10</v>
      </c>
      <c r="Q30" s="53" t="s">
        <v>252</v>
      </c>
      <c r="R30" s="38" t="s">
        <v>105</v>
      </c>
    </row>
    <row r="31" spans="1:18" x14ac:dyDescent="0.25">
      <c r="A31" t="s">
        <v>43</v>
      </c>
      <c r="B31" t="s">
        <v>12</v>
      </c>
      <c r="H31" s="53" t="s">
        <v>255</v>
      </c>
      <c r="I31" s="36" t="s">
        <v>122</v>
      </c>
      <c r="J31" s="35"/>
      <c r="K31" s="37" t="s">
        <v>10</v>
      </c>
      <c r="N31" s="53" t="s">
        <v>255</v>
      </c>
      <c r="O31" s="38" t="s">
        <v>10</v>
      </c>
      <c r="Q31" s="53" t="s">
        <v>255</v>
      </c>
      <c r="R31" s="38" t="s">
        <v>105</v>
      </c>
    </row>
    <row r="32" spans="1:18" x14ac:dyDescent="0.25">
      <c r="A32" t="s">
        <v>44</v>
      </c>
      <c r="B32" t="s">
        <v>13</v>
      </c>
      <c r="H32" s="53" t="s">
        <v>258</v>
      </c>
      <c r="I32" s="36" t="s">
        <v>122</v>
      </c>
      <c r="J32" s="35"/>
      <c r="K32" s="37" t="s">
        <v>10</v>
      </c>
      <c r="N32" s="53" t="s">
        <v>258</v>
      </c>
      <c r="O32" s="38" t="s">
        <v>10</v>
      </c>
      <c r="Q32" s="53" t="s">
        <v>258</v>
      </c>
      <c r="R32" s="38" t="s">
        <v>105</v>
      </c>
    </row>
    <row r="33" spans="1:18" x14ac:dyDescent="0.25">
      <c r="A33" t="s">
        <v>45</v>
      </c>
      <c r="B33" t="s">
        <v>13</v>
      </c>
      <c r="H33" s="53" t="s">
        <v>259</v>
      </c>
      <c r="I33" s="36" t="s">
        <v>122</v>
      </c>
      <c r="J33" s="35"/>
      <c r="K33" s="37" t="s">
        <v>10</v>
      </c>
      <c r="N33" s="53" t="s">
        <v>259</v>
      </c>
      <c r="O33" s="38" t="s">
        <v>10</v>
      </c>
      <c r="Q33" s="53" t="s">
        <v>259</v>
      </c>
      <c r="R33" s="38" t="s">
        <v>105</v>
      </c>
    </row>
    <row r="34" spans="1:18" x14ac:dyDescent="0.25">
      <c r="A34" t="s">
        <v>46</v>
      </c>
      <c r="B34" t="s">
        <v>14</v>
      </c>
      <c r="H34" s="53" t="s">
        <v>265</v>
      </c>
      <c r="I34" s="36" t="s">
        <v>122</v>
      </c>
      <c r="J34" s="35"/>
      <c r="K34" s="37" t="s">
        <v>10</v>
      </c>
      <c r="N34" s="53" t="s">
        <v>265</v>
      </c>
      <c r="O34" s="38" t="s">
        <v>10</v>
      </c>
      <c r="Q34" s="53" t="s">
        <v>265</v>
      </c>
      <c r="R34" s="38" t="s">
        <v>105</v>
      </c>
    </row>
    <row r="35" spans="1:18" x14ac:dyDescent="0.25">
      <c r="A35" t="s">
        <v>35</v>
      </c>
      <c r="B35" t="s">
        <v>12</v>
      </c>
      <c r="H35" s="53" t="s">
        <v>267</v>
      </c>
      <c r="I35" s="36" t="s">
        <v>122</v>
      </c>
      <c r="J35" s="35"/>
      <c r="K35" s="37" t="s">
        <v>10</v>
      </c>
      <c r="N35" s="53" t="s">
        <v>267</v>
      </c>
      <c r="O35" s="38" t="s">
        <v>10</v>
      </c>
      <c r="Q35" s="53" t="s">
        <v>267</v>
      </c>
      <c r="R35" s="38" t="s">
        <v>105</v>
      </c>
    </row>
    <row r="36" spans="1:18" x14ac:dyDescent="0.25">
      <c r="A36" t="s">
        <v>47</v>
      </c>
      <c r="B36" t="s">
        <v>14</v>
      </c>
      <c r="H36" s="53" t="s">
        <v>272</v>
      </c>
      <c r="I36" s="36" t="s">
        <v>122</v>
      </c>
      <c r="J36" s="35"/>
      <c r="K36" s="37" t="s">
        <v>10</v>
      </c>
      <c r="N36" s="53" t="s">
        <v>272</v>
      </c>
      <c r="O36" s="38" t="s">
        <v>10</v>
      </c>
      <c r="Q36" s="53" t="s">
        <v>272</v>
      </c>
      <c r="R36" s="38" t="s">
        <v>105</v>
      </c>
    </row>
    <row r="37" spans="1:18" x14ac:dyDescent="0.25">
      <c r="A37" t="s">
        <v>48</v>
      </c>
      <c r="B37" t="s">
        <v>14</v>
      </c>
      <c r="H37" s="53" t="s">
        <v>280</v>
      </c>
      <c r="I37" s="36" t="s">
        <v>122</v>
      </c>
      <c r="J37" s="35"/>
      <c r="K37" s="37" t="s">
        <v>10</v>
      </c>
      <c r="N37" s="53" t="s">
        <v>280</v>
      </c>
      <c r="O37" s="38" t="s">
        <v>10</v>
      </c>
      <c r="Q37" s="53" t="s">
        <v>280</v>
      </c>
      <c r="R37" s="38" t="s">
        <v>105</v>
      </c>
    </row>
    <row r="38" spans="1:18" x14ac:dyDescent="0.25">
      <c r="A38" t="s">
        <v>49</v>
      </c>
      <c r="B38" t="s">
        <v>14</v>
      </c>
      <c r="H38" s="53" t="s">
        <v>120</v>
      </c>
      <c r="I38" s="36" t="s">
        <v>122</v>
      </c>
      <c r="J38" s="35"/>
      <c r="K38" s="37" t="s">
        <v>10</v>
      </c>
      <c r="N38" s="53" t="s">
        <v>120</v>
      </c>
      <c r="O38" s="38" t="s">
        <v>10</v>
      </c>
      <c r="Q38" s="53" t="s">
        <v>120</v>
      </c>
      <c r="R38" s="38" t="s">
        <v>105</v>
      </c>
    </row>
    <row r="39" spans="1:18" x14ac:dyDescent="0.25">
      <c r="A39" t="s">
        <v>50</v>
      </c>
      <c r="B39" t="s">
        <v>14</v>
      </c>
      <c r="H39" s="53" t="s">
        <v>292</v>
      </c>
      <c r="I39" s="36" t="s">
        <v>122</v>
      </c>
      <c r="J39" s="35"/>
      <c r="K39" s="37" t="s">
        <v>10</v>
      </c>
      <c r="N39" s="53" t="s">
        <v>292</v>
      </c>
      <c r="O39" s="38" t="s">
        <v>10</v>
      </c>
      <c r="Q39" s="53" t="s">
        <v>292</v>
      </c>
      <c r="R39" s="38" t="s">
        <v>105</v>
      </c>
    </row>
    <row r="40" spans="1:18" x14ac:dyDescent="0.25">
      <c r="A40" t="s">
        <v>51</v>
      </c>
      <c r="B40" t="s">
        <v>15</v>
      </c>
      <c r="H40" s="53" t="s">
        <v>67</v>
      </c>
      <c r="I40" s="36" t="s">
        <v>122</v>
      </c>
      <c r="J40" s="35"/>
      <c r="K40" s="37" t="s">
        <v>10</v>
      </c>
      <c r="N40" s="53" t="s">
        <v>67</v>
      </c>
      <c r="O40" s="38" t="s">
        <v>10</v>
      </c>
      <c r="Q40" s="53" t="s">
        <v>67</v>
      </c>
      <c r="R40" s="38" t="s">
        <v>105</v>
      </c>
    </row>
    <row r="41" spans="1:18" x14ac:dyDescent="0.25">
      <c r="A41" t="s">
        <v>52</v>
      </c>
      <c r="B41" t="s">
        <v>12</v>
      </c>
      <c r="H41" s="53" t="s">
        <v>296</v>
      </c>
      <c r="I41" s="36" t="s">
        <v>122</v>
      </c>
      <c r="J41" s="35"/>
      <c r="K41" s="37" t="s">
        <v>10</v>
      </c>
      <c r="N41" s="53" t="s">
        <v>296</v>
      </c>
      <c r="O41" s="38" t="s">
        <v>10</v>
      </c>
      <c r="Q41" s="53" t="s">
        <v>296</v>
      </c>
      <c r="R41" s="38" t="s">
        <v>105</v>
      </c>
    </row>
    <row r="42" spans="1:18" x14ac:dyDescent="0.25">
      <c r="A42" t="s">
        <v>53</v>
      </c>
      <c r="B42" t="s">
        <v>16</v>
      </c>
      <c r="H42" s="53" t="s">
        <v>302</v>
      </c>
      <c r="I42" s="36" t="s">
        <v>122</v>
      </c>
      <c r="J42" s="35"/>
      <c r="K42" s="37" t="s">
        <v>10</v>
      </c>
      <c r="N42" s="53" t="s">
        <v>302</v>
      </c>
      <c r="O42" s="38" t="s">
        <v>10</v>
      </c>
      <c r="Q42" s="53" t="s">
        <v>302</v>
      </c>
      <c r="R42" s="38" t="s">
        <v>105</v>
      </c>
    </row>
    <row r="43" spans="1:18" x14ac:dyDescent="0.25">
      <c r="A43" t="s">
        <v>54</v>
      </c>
      <c r="B43" t="s">
        <v>15</v>
      </c>
      <c r="H43" s="53" t="s">
        <v>305</v>
      </c>
      <c r="I43" s="36" t="s">
        <v>122</v>
      </c>
      <c r="J43" s="35"/>
      <c r="K43" s="37" t="s">
        <v>10</v>
      </c>
      <c r="N43" s="53" t="s">
        <v>305</v>
      </c>
      <c r="O43" s="38" t="s">
        <v>10</v>
      </c>
      <c r="Q43" s="53" t="s">
        <v>305</v>
      </c>
      <c r="R43" s="38" t="s">
        <v>105</v>
      </c>
    </row>
    <row r="44" spans="1:18" x14ac:dyDescent="0.25">
      <c r="A44" t="s">
        <v>385</v>
      </c>
      <c r="B44" t="s">
        <v>13</v>
      </c>
      <c r="H44" s="53" t="s">
        <v>310</v>
      </c>
      <c r="I44" s="36" t="s">
        <v>122</v>
      </c>
      <c r="J44" s="35"/>
      <c r="K44" s="37" t="s">
        <v>10</v>
      </c>
      <c r="N44" s="53" t="s">
        <v>310</v>
      </c>
      <c r="O44" s="38" t="s">
        <v>10</v>
      </c>
      <c r="Q44" s="53" t="s">
        <v>310</v>
      </c>
      <c r="R44" s="38" t="s">
        <v>105</v>
      </c>
    </row>
    <row r="45" spans="1:18" x14ac:dyDescent="0.25">
      <c r="A45" t="s">
        <v>386</v>
      </c>
      <c r="B45" t="s">
        <v>12</v>
      </c>
      <c r="H45" s="53" t="s">
        <v>145</v>
      </c>
      <c r="I45" s="36" t="s">
        <v>122</v>
      </c>
      <c r="J45" s="35"/>
      <c r="K45" s="37" t="s">
        <v>10</v>
      </c>
      <c r="N45" s="53" t="s">
        <v>145</v>
      </c>
      <c r="O45" s="38" t="s">
        <v>10</v>
      </c>
      <c r="Q45" s="53" t="s">
        <v>145</v>
      </c>
      <c r="R45" s="38" t="s">
        <v>105</v>
      </c>
    </row>
    <row r="46" spans="1:18" x14ac:dyDescent="0.25">
      <c r="A46" t="s">
        <v>387</v>
      </c>
      <c r="B46" t="s">
        <v>16</v>
      </c>
      <c r="H46" s="53" t="s">
        <v>316</v>
      </c>
      <c r="I46" s="36" t="s">
        <v>122</v>
      </c>
      <c r="J46" s="35"/>
      <c r="K46" s="37" t="s">
        <v>10</v>
      </c>
      <c r="N46" s="53" t="s">
        <v>316</v>
      </c>
      <c r="O46" s="38" t="s">
        <v>10</v>
      </c>
      <c r="Q46" s="53" t="s">
        <v>316</v>
      </c>
      <c r="R46" s="38" t="s">
        <v>105</v>
      </c>
    </row>
    <row r="47" spans="1:18" x14ac:dyDescent="0.25">
      <c r="A47" t="s">
        <v>388</v>
      </c>
      <c r="B47" t="s">
        <v>16</v>
      </c>
      <c r="H47" s="53" t="s">
        <v>321</v>
      </c>
      <c r="I47" s="36" t="s">
        <v>122</v>
      </c>
      <c r="J47" s="35"/>
      <c r="K47" s="37" t="s">
        <v>10</v>
      </c>
      <c r="N47" s="53" t="s">
        <v>321</v>
      </c>
      <c r="O47" s="38" t="s">
        <v>10</v>
      </c>
      <c r="Q47" s="53" t="s">
        <v>321</v>
      </c>
      <c r="R47" s="38" t="s">
        <v>105</v>
      </c>
    </row>
    <row r="48" spans="1:18" x14ac:dyDescent="0.25">
      <c r="A48" t="s">
        <v>389</v>
      </c>
      <c r="B48" t="s">
        <v>14</v>
      </c>
      <c r="H48" s="53" t="s">
        <v>325</v>
      </c>
      <c r="I48" s="36" t="s">
        <v>122</v>
      </c>
      <c r="J48" s="35"/>
      <c r="K48" s="37" t="s">
        <v>10</v>
      </c>
      <c r="N48" s="53" t="s">
        <v>325</v>
      </c>
      <c r="O48" s="38" t="s">
        <v>10</v>
      </c>
      <c r="Q48" s="53" t="s">
        <v>325</v>
      </c>
      <c r="R48" s="38" t="s">
        <v>105</v>
      </c>
    </row>
    <row r="49" spans="1:18" x14ac:dyDescent="0.25">
      <c r="A49" t="s">
        <v>390</v>
      </c>
      <c r="B49" t="s">
        <v>14</v>
      </c>
      <c r="H49" s="53" t="s">
        <v>328</v>
      </c>
      <c r="I49" s="36" t="s">
        <v>122</v>
      </c>
      <c r="J49" s="35"/>
      <c r="K49" s="37" t="s">
        <v>10</v>
      </c>
      <c r="N49" s="53" t="s">
        <v>328</v>
      </c>
      <c r="O49" s="38" t="s">
        <v>10</v>
      </c>
      <c r="Q49" s="53" t="s">
        <v>328</v>
      </c>
      <c r="R49" s="38" t="s">
        <v>105</v>
      </c>
    </row>
    <row r="50" spans="1:18" x14ac:dyDescent="0.25">
      <c r="A50" t="s">
        <v>391</v>
      </c>
      <c r="B50" t="s">
        <v>12</v>
      </c>
      <c r="H50" s="53" t="s">
        <v>332</v>
      </c>
      <c r="I50" s="36" t="s">
        <v>122</v>
      </c>
      <c r="J50" s="35"/>
      <c r="K50" s="37" t="s">
        <v>10</v>
      </c>
      <c r="N50" s="53" t="s">
        <v>332</v>
      </c>
      <c r="O50" s="38" t="s">
        <v>10</v>
      </c>
      <c r="Q50" s="53" t="s">
        <v>332</v>
      </c>
      <c r="R50" s="38" t="s">
        <v>105</v>
      </c>
    </row>
    <row r="51" spans="1:18" x14ac:dyDescent="0.25">
      <c r="A51" t="s">
        <v>392</v>
      </c>
      <c r="B51" t="s">
        <v>14</v>
      </c>
      <c r="H51" s="53" t="s">
        <v>333</v>
      </c>
      <c r="I51" s="36" t="s">
        <v>122</v>
      </c>
      <c r="J51" s="35"/>
      <c r="K51" s="37" t="s">
        <v>10</v>
      </c>
      <c r="N51" s="53" t="s">
        <v>333</v>
      </c>
      <c r="O51" s="38" t="s">
        <v>10</v>
      </c>
      <c r="Q51" s="53" t="s">
        <v>333</v>
      </c>
      <c r="R51" s="38" t="s">
        <v>105</v>
      </c>
    </row>
    <row r="52" spans="1:18" x14ac:dyDescent="0.25">
      <c r="A52" t="s">
        <v>393</v>
      </c>
      <c r="B52" t="s">
        <v>16</v>
      </c>
      <c r="H52" s="53" t="s">
        <v>335</v>
      </c>
      <c r="I52" s="36" t="s">
        <v>122</v>
      </c>
      <c r="J52" s="35"/>
      <c r="K52" s="37" t="s">
        <v>10</v>
      </c>
      <c r="N52" s="53" t="s">
        <v>335</v>
      </c>
      <c r="O52" s="38" t="s">
        <v>10</v>
      </c>
      <c r="Q52" s="53" t="s">
        <v>335</v>
      </c>
      <c r="R52" s="38" t="s">
        <v>105</v>
      </c>
    </row>
    <row r="53" spans="1:18" x14ac:dyDescent="0.25">
      <c r="A53" t="s">
        <v>394</v>
      </c>
      <c r="B53" t="s">
        <v>16</v>
      </c>
      <c r="H53" s="53" t="s">
        <v>337</v>
      </c>
      <c r="I53" s="36" t="s">
        <v>122</v>
      </c>
      <c r="J53" s="35"/>
      <c r="K53" s="37" t="s">
        <v>10</v>
      </c>
      <c r="N53" s="53" t="s">
        <v>337</v>
      </c>
      <c r="O53" s="38" t="s">
        <v>10</v>
      </c>
      <c r="Q53" s="53" t="s">
        <v>337</v>
      </c>
      <c r="R53" s="38" t="s">
        <v>105</v>
      </c>
    </row>
    <row r="54" spans="1:18" x14ac:dyDescent="0.25">
      <c r="A54" t="s">
        <v>395</v>
      </c>
      <c r="B54" t="s">
        <v>12</v>
      </c>
      <c r="H54" s="53" t="s">
        <v>340</v>
      </c>
      <c r="I54" s="36" t="s">
        <v>122</v>
      </c>
      <c r="J54" s="35"/>
      <c r="K54" s="37" t="s">
        <v>10</v>
      </c>
      <c r="N54" s="53" t="s">
        <v>340</v>
      </c>
      <c r="O54" s="38" t="s">
        <v>10</v>
      </c>
      <c r="Q54" s="53" t="s">
        <v>340</v>
      </c>
      <c r="R54" s="38" t="s">
        <v>105</v>
      </c>
    </row>
    <row r="55" spans="1:18" x14ac:dyDescent="0.25">
      <c r="A55" t="s">
        <v>396</v>
      </c>
      <c r="B55" t="s">
        <v>15</v>
      </c>
      <c r="H55" s="53" t="s">
        <v>343</v>
      </c>
      <c r="I55" s="36" t="s">
        <v>122</v>
      </c>
      <c r="J55" s="35"/>
      <c r="K55" s="37" t="s">
        <v>10</v>
      </c>
      <c r="N55" s="53" t="s">
        <v>343</v>
      </c>
      <c r="O55" s="38" t="s">
        <v>10</v>
      </c>
      <c r="Q55" s="53" t="s">
        <v>343</v>
      </c>
      <c r="R55" s="38" t="s">
        <v>105</v>
      </c>
    </row>
    <row r="56" spans="1:18" x14ac:dyDescent="0.25">
      <c r="A56" t="s">
        <v>397</v>
      </c>
      <c r="B56" t="s">
        <v>12</v>
      </c>
      <c r="H56" s="53" t="s">
        <v>346</v>
      </c>
      <c r="I56" s="36" t="s">
        <v>122</v>
      </c>
      <c r="J56" s="35"/>
      <c r="K56" s="37" t="s">
        <v>10</v>
      </c>
      <c r="N56" s="53" t="s">
        <v>346</v>
      </c>
      <c r="O56" s="38" t="s">
        <v>10</v>
      </c>
      <c r="Q56" s="53" t="s">
        <v>346</v>
      </c>
      <c r="R56" s="38" t="s">
        <v>105</v>
      </c>
    </row>
    <row r="57" spans="1:18" x14ac:dyDescent="0.25">
      <c r="A57" t="s">
        <v>398</v>
      </c>
      <c r="B57" t="s">
        <v>16</v>
      </c>
      <c r="H57" s="53" t="s">
        <v>356</v>
      </c>
      <c r="I57" s="36" t="s">
        <v>122</v>
      </c>
      <c r="J57" s="35"/>
      <c r="K57" s="37" t="s">
        <v>10</v>
      </c>
      <c r="N57" s="53" t="s">
        <v>356</v>
      </c>
      <c r="O57" s="38" t="s">
        <v>10</v>
      </c>
      <c r="Q57" s="53" t="s">
        <v>356</v>
      </c>
      <c r="R57" s="38" t="s">
        <v>105</v>
      </c>
    </row>
    <row r="58" spans="1:18" x14ac:dyDescent="0.25">
      <c r="A58" t="s">
        <v>399</v>
      </c>
      <c r="B58" t="s">
        <v>16</v>
      </c>
      <c r="H58" s="53" t="s">
        <v>358</v>
      </c>
      <c r="I58" s="36" t="s">
        <v>122</v>
      </c>
      <c r="J58" s="35"/>
      <c r="K58" s="37" t="s">
        <v>10</v>
      </c>
      <c r="N58" s="53" t="s">
        <v>358</v>
      </c>
      <c r="O58" s="38" t="s">
        <v>10</v>
      </c>
      <c r="Q58" s="53" t="s">
        <v>358</v>
      </c>
      <c r="R58" s="38" t="s">
        <v>105</v>
      </c>
    </row>
    <row r="59" spans="1:18" x14ac:dyDescent="0.25">
      <c r="A59" t="s">
        <v>400</v>
      </c>
      <c r="B59" t="s">
        <v>13</v>
      </c>
      <c r="H59" s="53" t="s">
        <v>360</v>
      </c>
      <c r="I59" s="36" t="s">
        <v>122</v>
      </c>
      <c r="J59" s="35"/>
      <c r="K59" s="37" t="s">
        <v>10</v>
      </c>
      <c r="N59" s="53" t="s">
        <v>360</v>
      </c>
      <c r="O59" s="38" t="s">
        <v>10</v>
      </c>
      <c r="Q59" s="53" t="s">
        <v>360</v>
      </c>
      <c r="R59" s="38" t="s">
        <v>105</v>
      </c>
    </row>
    <row r="60" spans="1:18" x14ac:dyDescent="0.25">
      <c r="A60" t="s">
        <v>401</v>
      </c>
      <c r="B60" t="s">
        <v>16</v>
      </c>
      <c r="H60" s="53" t="s">
        <v>366</v>
      </c>
      <c r="I60" s="36" t="s">
        <v>122</v>
      </c>
      <c r="J60" s="35"/>
      <c r="K60" s="37" t="s">
        <v>10</v>
      </c>
      <c r="N60" s="53" t="s">
        <v>366</v>
      </c>
      <c r="O60" s="38" t="s">
        <v>10</v>
      </c>
      <c r="Q60" s="53" t="s">
        <v>366</v>
      </c>
      <c r="R60" s="38" t="s">
        <v>105</v>
      </c>
    </row>
    <row r="61" spans="1:18" x14ac:dyDescent="0.25">
      <c r="A61" t="s">
        <v>385</v>
      </c>
      <c r="B61" t="s">
        <v>13</v>
      </c>
      <c r="H61" s="53" t="s">
        <v>371</v>
      </c>
      <c r="I61" s="36" t="s">
        <v>122</v>
      </c>
      <c r="J61" s="35"/>
      <c r="K61" s="37" t="s">
        <v>10</v>
      </c>
      <c r="N61" s="53" t="s">
        <v>371</v>
      </c>
      <c r="O61" s="38" t="s">
        <v>10</v>
      </c>
      <c r="Q61" s="53" t="s">
        <v>371</v>
      </c>
      <c r="R61" s="38" t="s">
        <v>105</v>
      </c>
    </row>
    <row r="62" spans="1:18" x14ac:dyDescent="0.25">
      <c r="A62" t="s">
        <v>402</v>
      </c>
      <c r="B62" t="s">
        <v>12</v>
      </c>
      <c r="H62" s="53" t="s">
        <v>373</v>
      </c>
      <c r="I62" s="36" t="s">
        <v>122</v>
      </c>
      <c r="J62" s="35"/>
      <c r="K62" s="37" t="s">
        <v>10</v>
      </c>
      <c r="N62" s="53" t="s">
        <v>373</v>
      </c>
      <c r="O62" s="38" t="s">
        <v>10</v>
      </c>
      <c r="Q62" s="53" t="s">
        <v>373</v>
      </c>
      <c r="R62" s="38" t="s">
        <v>105</v>
      </c>
    </row>
    <row r="63" spans="1:18" x14ac:dyDescent="0.25">
      <c r="A63" t="s">
        <v>403</v>
      </c>
      <c r="B63" t="s">
        <v>16</v>
      </c>
      <c r="H63" s="53" t="s">
        <v>383</v>
      </c>
      <c r="I63" s="36" t="s">
        <v>122</v>
      </c>
      <c r="J63" s="35"/>
      <c r="K63" s="37" t="s">
        <v>10</v>
      </c>
      <c r="N63" s="53" t="s">
        <v>383</v>
      </c>
      <c r="O63" s="38" t="s">
        <v>10</v>
      </c>
      <c r="Q63" s="53" t="s">
        <v>383</v>
      </c>
      <c r="R63" s="38" t="s">
        <v>105</v>
      </c>
    </row>
    <row r="64" spans="1:18" x14ac:dyDescent="0.25">
      <c r="A64" t="s">
        <v>404</v>
      </c>
      <c r="B64" t="s">
        <v>12</v>
      </c>
      <c r="H64" s="51" t="s">
        <v>107</v>
      </c>
      <c r="I64" s="36" t="s">
        <v>123</v>
      </c>
      <c r="J64" s="34"/>
      <c r="K64" s="37" t="s">
        <v>11</v>
      </c>
      <c r="N64" s="51" t="s">
        <v>107</v>
      </c>
      <c r="O64" s="38" t="s">
        <v>11</v>
      </c>
      <c r="Q64" s="51" t="s">
        <v>107</v>
      </c>
      <c r="R64" s="38" t="s">
        <v>105</v>
      </c>
    </row>
    <row r="65" spans="1:18" x14ac:dyDescent="0.25">
      <c r="A65" t="s">
        <v>393</v>
      </c>
      <c r="B65" t="s">
        <v>16</v>
      </c>
      <c r="H65" s="51" t="s">
        <v>117</v>
      </c>
      <c r="I65" s="36" t="s">
        <v>123</v>
      </c>
      <c r="J65" s="34"/>
      <c r="K65" s="37" t="s">
        <v>11</v>
      </c>
      <c r="N65" s="51" t="s">
        <v>117</v>
      </c>
      <c r="O65" s="38" t="s">
        <v>11</v>
      </c>
      <c r="Q65" s="51" t="s">
        <v>117</v>
      </c>
      <c r="R65" s="38" t="s">
        <v>105</v>
      </c>
    </row>
    <row r="66" spans="1:18" x14ac:dyDescent="0.25">
      <c r="A66" t="s">
        <v>392</v>
      </c>
      <c r="B66" t="s">
        <v>14</v>
      </c>
      <c r="H66" s="51" t="s">
        <v>116</v>
      </c>
      <c r="I66" s="36" t="s">
        <v>123</v>
      </c>
      <c r="J66" s="34"/>
      <c r="K66" s="37" t="s">
        <v>11</v>
      </c>
      <c r="N66" s="51" t="s">
        <v>116</v>
      </c>
      <c r="O66" s="38" t="s">
        <v>11</v>
      </c>
      <c r="Q66" s="51" t="s">
        <v>116</v>
      </c>
      <c r="R66" s="38" t="s">
        <v>105</v>
      </c>
    </row>
    <row r="67" spans="1:18" x14ac:dyDescent="0.25">
      <c r="A67" t="s">
        <v>386</v>
      </c>
      <c r="B67" t="s">
        <v>12</v>
      </c>
      <c r="H67" s="53" t="s">
        <v>163</v>
      </c>
      <c r="I67" s="36" t="s">
        <v>123</v>
      </c>
      <c r="J67" s="34"/>
      <c r="K67" s="37" t="s">
        <v>11</v>
      </c>
      <c r="L67" s="55"/>
      <c r="N67" s="53" t="s">
        <v>163</v>
      </c>
      <c r="O67" s="38" t="s">
        <v>11</v>
      </c>
      <c r="Q67" s="53" t="s">
        <v>163</v>
      </c>
      <c r="R67" s="38" t="s">
        <v>105</v>
      </c>
    </row>
    <row r="68" spans="1:18" x14ac:dyDescent="0.25">
      <c r="A68" t="s">
        <v>389</v>
      </c>
      <c r="B68" t="s">
        <v>14</v>
      </c>
      <c r="H68" s="53" t="s">
        <v>166</v>
      </c>
      <c r="I68" s="36" t="s">
        <v>123</v>
      </c>
      <c r="J68" s="34"/>
      <c r="K68" s="37" t="s">
        <v>11</v>
      </c>
      <c r="N68" s="53" t="s">
        <v>166</v>
      </c>
      <c r="O68" s="38" t="s">
        <v>11</v>
      </c>
      <c r="Q68" s="53" t="s">
        <v>166</v>
      </c>
      <c r="R68" s="38" t="s">
        <v>105</v>
      </c>
    </row>
    <row r="69" spans="1:18" x14ac:dyDescent="0.25">
      <c r="A69" t="s">
        <v>390</v>
      </c>
      <c r="B69" t="s">
        <v>14</v>
      </c>
      <c r="H69" s="53" t="s">
        <v>177</v>
      </c>
      <c r="I69" s="36" t="s">
        <v>123</v>
      </c>
      <c r="J69" s="34"/>
      <c r="K69" s="37" t="s">
        <v>11</v>
      </c>
      <c r="N69" s="53" t="s">
        <v>177</v>
      </c>
      <c r="O69" s="38" t="s">
        <v>11</v>
      </c>
      <c r="Q69" s="53" t="s">
        <v>177</v>
      </c>
      <c r="R69" s="38" t="s">
        <v>105</v>
      </c>
    </row>
    <row r="70" spans="1:18" x14ac:dyDescent="0.25">
      <c r="A70" t="s">
        <v>403</v>
      </c>
      <c r="B70" t="s">
        <v>16</v>
      </c>
      <c r="H70" s="53" t="s">
        <v>180</v>
      </c>
      <c r="I70" s="36" t="s">
        <v>123</v>
      </c>
      <c r="J70" s="34"/>
      <c r="K70" s="37" t="s">
        <v>11</v>
      </c>
      <c r="N70" s="53" t="s">
        <v>180</v>
      </c>
      <c r="O70" s="38" t="s">
        <v>11</v>
      </c>
      <c r="Q70" s="53" t="s">
        <v>180</v>
      </c>
      <c r="R70" s="38" t="s">
        <v>105</v>
      </c>
    </row>
    <row r="71" spans="1:18" x14ac:dyDescent="0.25">
      <c r="A71" t="s">
        <v>405</v>
      </c>
      <c r="B71" t="s">
        <v>12</v>
      </c>
      <c r="H71" s="53" t="s">
        <v>183</v>
      </c>
      <c r="I71" s="36" t="s">
        <v>123</v>
      </c>
      <c r="J71" s="34"/>
      <c r="K71" s="37" t="s">
        <v>11</v>
      </c>
      <c r="N71" s="53" t="s">
        <v>183</v>
      </c>
      <c r="O71" s="38" t="s">
        <v>11</v>
      </c>
      <c r="Q71" s="53" t="s">
        <v>183</v>
      </c>
      <c r="R71" s="38" t="s">
        <v>105</v>
      </c>
    </row>
    <row r="72" spans="1:18" x14ac:dyDescent="0.25">
      <c r="A72" t="s">
        <v>391</v>
      </c>
      <c r="B72" t="s">
        <v>12</v>
      </c>
      <c r="H72" s="53" t="s">
        <v>187</v>
      </c>
      <c r="I72" s="36" t="s">
        <v>123</v>
      </c>
      <c r="J72" s="34"/>
      <c r="K72" s="37" t="s">
        <v>11</v>
      </c>
      <c r="N72" s="53" t="s">
        <v>187</v>
      </c>
      <c r="O72" s="38" t="s">
        <v>11</v>
      </c>
      <c r="Q72" s="53" t="s">
        <v>187</v>
      </c>
      <c r="R72" s="38" t="s">
        <v>105</v>
      </c>
    </row>
    <row r="73" spans="1:18" x14ac:dyDescent="0.25">
      <c r="A73" t="s">
        <v>390</v>
      </c>
      <c r="B73" t="s">
        <v>14</v>
      </c>
      <c r="H73" s="53" t="s">
        <v>193</v>
      </c>
      <c r="I73" s="36" t="s">
        <v>123</v>
      </c>
      <c r="J73" s="34"/>
      <c r="K73" s="37" t="s">
        <v>11</v>
      </c>
      <c r="N73" s="53" t="s">
        <v>193</v>
      </c>
      <c r="O73" s="38" t="s">
        <v>11</v>
      </c>
      <c r="Q73" s="53" t="s">
        <v>193</v>
      </c>
      <c r="R73" s="38" t="s">
        <v>105</v>
      </c>
    </row>
    <row r="74" spans="1:18" x14ac:dyDescent="0.25">
      <c r="A74" t="s">
        <v>392</v>
      </c>
      <c r="B74" t="s">
        <v>14</v>
      </c>
      <c r="H74" s="53" t="s">
        <v>194</v>
      </c>
      <c r="I74" s="36" t="s">
        <v>123</v>
      </c>
      <c r="J74" s="34"/>
      <c r="K74" s="37" t="s">
        <v>11</v>
      </c>
      <c r="N74" s="53" t="s">
        <v>194</v>
      </c>
      <c r="O74" s="38" t="s">
        <v>11</v>
      </c>
      <c r="Q74" s="53" t="s">
        <v>194</v>
      </c>
      <c r="R74" s="38" t="s">
        <v>105</v>
      </c>
    </row>
    <row r="75" spans="1:18" x14ac:dyDescent="0.25">
      <c r="A75" t="s">
        <v>406</v>
      </c>
      <c r="B75" t="s">
        <v>12</v>
      </c>
      <c r="H75" s="53" t="s">
        <v>195</v>
      </c>
      <c r="I75" s="36" t="s">
        <v>123</v>
      </c>
      <c r="J75" s="34"/>
      <c r="K75" s="37" t="s">
        <v>11</v>
      </c>
      <c r="N75" s="53" t="s">
        <v>195</v>
      </c>
      <c r="O75" s="38" t="s">
        <v>11</v>
      </c>
      <c r="Q75" s="53" t="s">
        <v>195</v>
      </c>
      <c r="R75" s="38" t="s">
        <v>105</v>
      </c>
    </row>
    <row r="76" spans="1:18" x14ac:dyDescent="0.25">
      <c r="A76" t="s">
        <v>407</v>
      </c>
      <c r="B76" t="s">
        <v>16</v>
      </c>
      <c r="H76" s="53" t="s">
        <v>196</v>
      </c>
      <c r="I76" s="36" t="s">
        <v>123</v>
      </c>
      <c r="J76" s="34"/>
      <c r="K76" s="37" t="s">
        <v>11</v>
      </c>
      <c r="N76" s="53" t="s">
        <v>196</v>
      </c>
      <c r="O76" s="38" t="s">
        <v>11</v>
      </c>
      <c r="Q76" s="53" t="s">
        <v>196</v>
      </c>
      <c r="R76" s="38" t="s">
        <v>105</v>
      </c>
    </row>
    <row r="77" spans="1:18" x14ac:dyDescent="0.25">
      <c r="A77" t="s">
        <v>408</v>
      </c>
      <c r="B77" t="s">
        <v>14</v>
      </c>
      <c r="H77" s="53" t="s">
        <v>197</v>
      </c>
      <c r="I77" s="36" t="s">
        <v>123</v>
      </c>
      <c r="J77" s="34"/>
      <c r="K77" s="37" t="s">
        <v>11</v>
      </c>
      <c r="N77" s="53" t="s">
        <v>197</v>
      </c>
      <c r="O77" s="38" t="s">
        <v>11</v>
      </c>
      <c r="Q77" s="53" t="s">
        <v>197</v>
      </c>
      <c r="R77" s="38" t="s">
        <v>105</v>
      </c>
    </row>
    <row r="78" spans="1:18" x14ac:dyDescent="0.25">
      <c r="A78" t="s">
        <v>61</v>
      </c>
      <c r="B78" t="s">
        <v>16</v>
      </c>
      <c r="H78" s="53" t="s">
        <v>198</v>
      </c>
      <c r="I78" s="36" t="s">
        <v>123</v>
      </c>
      <c r="J78" s="34"/>
      <c r="K78" s="37" t="s">
        <v>11</v>
      </c>
      <c r="N78" s="53" t="s">
        <v>198</v>
      </c>
      <c r="O78" s="38" t="s">
        <v>11</v>
      </c>
      <c r="Q78" s="53" t="s">
        <v>198</v>
      </c>
      <c r="R78" s="38" t="s">
        <v>105</v>
      </c>
    </row>
    <row r="79" spans="1:18" x14ac:dyDescent="0.25">
      <c r="A79" t="s">
        <v>409</v>
      </c>
      <c r="B79" t="s">
        <v>12</v>
      </c>
      <c r="H79" s="53" t="s">
        <v>201</v>
      </c>
      <c r="I79" s="36" t="s">
        <v>123</v>
      </c>
      <c r="J79" s="34"/>
      <c r="K79" s="37" t="s">
        <v>11</v>
      </c>
      <c r="N79" s="53" t="s">
        <v>201</v>
      </c>
      <c r="O79" s="38" t="s">
        <v>11</v>
      </c>
      <c r="Q79" s="53" t="s">
        <v>201</v>
      </c>
      <c r="R79" s="38" t="s">
        <v>105</v>
      </c>
    </row>
    <row r="80" spans="1:18" x14ac:dyDescent="0.25">
      <c r="A80" t="s">
        <v>410</v>
      </c>
      <c r="B80" t="s">
        <v>12</v>
      </c>
      <c r="H80" s="53" t="s">
        <v>204</v>
      </c>
      <c r="I80" s="36" t="s">
        <v>123</v>
      </c>
      <c r="J80" s="34"/>
      <c r="K80" s="37" t="s">
        <v>11</v>
      </c>
      <c r="N80" s="53" t="s">
        <v>204</v>
      </c>
      <c r="O80" s="38" t="s">
        <v>11</v>
      </c>
      <c r="Q80" s="53" t="s">
        <v>204</v>
      </c>
      <c r="R80" s="38" t="s">
        <v>105</v>
      </c>
    </row>
    <row r="81" spans="1:18" x14ac:dyDescent="0.25">
      <c r="A81" t="s">
        <v>411</v>
      </c>
      <c r="B81" t="s">
        <v>12</v>
      </c>
      <c r="H81" s="53" t="s">
        <v>212</v>
      </c>
      <c r="I81" s="36" t="s">
        <v>123</v>
      </c>
      <c r="J81" s="34"/>
      <c r="K81" s="37" t="s">
        <v>11</v>
      </c>
      <c r="N81" s="53" t="s">
        <v>212</v>
      </c>
      <c r="O81" s="38" t="s">
        <v>11</v>
      </c>
      <c r="Q81" s="53" t="s">
        <v>212</v>
      </c>
      <c r="R81" s="38" t="s">
        <v>105</v>
      </c>
    </row>
    <row r="82" spans="1:18" x14ac:dyDescent="0.25">
      <c r="A82" t="s">
        <v>412</v>
      </c>
      <c r="B82" t="s">
        <v>16</v>
      </c>
      <c r="H82" s="53" t="s">
        <v>221</v>
      </c>
      <c r="I82" s="36" t="s">
        <v>123</v>
      </c>
      <c r="J82" s="34"/>
      <c r="K82" s="37" t="s">
        <v>11</v>
      </c>
      <c r="N82" s="53" t="s">
        <v>221</v>
      </c>
      <c r="O82" s="38" t="s">
        <v>11</v>
      </c>
      <c r="Q82" s="53" t="s">
        <v>221</v>
      </c>
      <c r="R82" s="38" t="s">
        <v>105</v>
      </c>
    </row>
    <row r="83" spans="1:18" x14ac:dyDescent="0.25">
      <c r="A83" t="s">
        <v>413</v>
      </c>
      <c r="B83" t="s">
        <v>12</v>
      </c>
      <c r="H83" s="53" t="s">
        <v>225</v>
      </c>
      <c r="I83" s="36" t="s">
        <v>123</v>
      </c>
      <c r="J83" s="34"/>
      <c r="K83" s="37" t="s">
        <v>11</v>
      </c>
      <c r="N83" s="53" t="s">
        <v>225</v>
      </c>
      <c r="O83" s="38" t="s">
        <v>11</v>
      </c>
      <c r="Q83" s="53" t="s">
        <v>225</v>
      </c>
      <c r="R83" s="38" t="s">
        <v>105</v>
      </c>
    </row>
    <row r="84" spans="1:18" x14ac:dyDescent="0.25">
      <c r="A84" t="s">
        <v>414</v>
      </c>
      <c r="B84" t="s">
        <v>14</v>
      </c>
      <c r="H84" s="53" t="s">
        <v>227</v>
      </c>
      <c r="I84" s="36" t="s">
        <v>123</v>
      </c>
      <c r="J84" s="34"/>
      <c r="K84" s="37" t="s">
        <v>11</v>
      </c>
      <c r="N84" s="53" t="s">
        <v>227</v>
      </c>
      <c r="O84" s="38" t="s">
        <v>11</v>
      </c>
      <c r="Q84" s="53" t="s">
        <v>227</v>
      </c>
      <c r="R84" s="38" t="s">
        <v>105</v>
      </c>
    </row>
    <row r="85" spans="1:18" x14ac:dyDescent="0.25">
      <c r="A85" t="s">
        <v>415</v>
      </c>
      <c r="B85" t="s">
        <v>16</v>
      </c>
      <c r="H85" s="53" t="s">
        <v>231</v>
      </c>
      <c r="I85" s="36" t="s">
        <v>123</v>
      </c>
      <c r="J85" s="34"/>
      <c r="K85" s="37" t="s">
        <v>11</v>
      </c>
      <c r="N85" s="53" t="s">
        <v>231</v>
      </c>
      <c r="O85" s="38" t="s">
        <v>11</v>
      </c>
      <c r="Q85" s="53" t="s">
        <v>231</v>
      </c>
      <c r="R85" s="38" t="s">
        <v>105</v>
      </c>
    </row>
    <row r="86" spans="1:18" x14ac:dyDescent="0.25">
      <c r="A86" t="s">
        <v>416</v>
      </c>
      <c r="B86" t="s">
        <v>16</v>
      </c>
      <c r="H86" s="53" t="s">
        <v>236</v>
      </c>
      <c r="I86" s="36" t="s">
        <v>123</v>
      </c>
      <c r="J86" s="34"/>
      <c r="K86" s="37" t="s">
        <v>11</v>
      </c>
      <c r="N86" s="53" t="s">
        <v>236</v>
      </c>
      <c r="O86" s="38" t="s">
        <v>11</v>
      </c>
      <c r="Q86" s="53" t="s">
        <v>236</v>
      </c>
      <c r="R86" s="38" t="s">
        <v>105</v>
      </c>
    </row>
    <row r="87" spans="1:18" x14ac:dyDescent="0.25">
      <c r="A87" t="s">
        <v>417</v>
      </c>
      <c r="B87" t="s">
        <v>16</v>
      </c>
      <c r="H87" s="53" t="s">
        <v>247</v>
      </c>
      <c r="I87" s="36" t="s">
        <v>123</v>
      </c>
      <c r="J87" s="34"/>
      <c r="K87" s="37" t="s">
        <v>11</v>
      </c>
      <c r="N87" s="53" t="s">
        <v>247</v>
      </c>
      <c r="O87" s="38" t="s">
        <v>11</v>
      </c>
      <c r="Q87" s="53" t="s">
        <v>247</v>
      </c>
      <c r="R87" s="38" t="s">
        <v>105</v>
      </c>
    </row>
    <row r="88" spans="1:18" x14ac:dyDescent="0.25">
      <c r="A88" t="s">
        <v>418</v>
      </c>
      <c r="B88" t="s">
        <v>12</v>
      </c>
      <c r="H88" s="53" t="s">
        <v>249</v>
      </c>
      <c r="I88" s="36" t="s">
        <v>123</v>
      </c>
      <c r="J88" s="34"/>
      <c r="K88" s="37" t="s">
        <v>11</v>
      </c>
      <c r="N88" s="53" t="s">
        <v>249</v>
      </c>
      <c r="O88" s="38" t="s">
        <v>11</v>
      </c>
      <c r="Q88" s="53" t="s">
        <v>249</v>
      </c>
      <c r="R88" s="38" t="s">
        <v>105</v>
      </c>
    </row>
    <row r="89" spans="1:18" x14ac:dyDescent="0.25">
      <c r="A89" t="s">
        <v>419</v>
      </c>
      <c r="B89" t="s">
        <v>16</v>
      </c>
      <c r="H89" s="53" t="s">
        <v>256</v>
      </c>
      <c r="I89" s="36" t="s">
        <v>123</v>
      </c>
      <c r="J89" s="34"/>
      <c r="K89" s="37" t="s">
        <v>11</v>
      </c>
      <c r="N89" s="53" t="s">
        <v>256</v>
      </c>
      <c r="O89" s="38" t="s">
        <v>11</v>
      </c>
      <c r="Q89" s="53" t="s">
        <v>256</v>
      </c>
      <c r="R89" s="38" t="s">
        <v>105</v>
      </c>
    </row>
    <row r="90" spans="1:18" x14ac:dyDescent="0.25">
      <c r="A90" t="s">
        <v>420</v>
      </c>
      <c r="B90" t="s">
        <v>16</v>
      </c>
      <c r="H90" s="53" t="s">
        <v>116</v>
      </c>
      <c r="I90" s="36" t="s">
        <v>123</v>
      </c>
      <c r="J90" s="34"/>
      <c r="K90" s="37" t="s">
        <v>11</v>
      </c>
      <c r="N90" s="53" t="s">
        <v>116</v>
      </c>
      <c r="O90" s="38" t="s">
        <v>11</v>
      </c>
      <c r="Q90" s="53" t="s">
        <v>116</v>
      </c>
      <c r="R90" s="38" t="s">
        <v>105</v>
      </c>
    </row>
    <row r="91" spans="1:18" x14ac:dyDescent="0.25">
      <c r="A91" t="s">
        <v>421</v>
      </c>
      <c r="B91" t="s">
        <v>16</v>
      </c>
      <c r="H91" s="53" t="s">
        <v>268</v>
      </c>
      <c r="I91" s="36" t="s">
        <v>123</v>
      </c>
      <c r="J91" s="34"/>
      <c r="K91" s="37" t="s">
        <v>11</v>
      </c>
      <c r="N91" s="53" t="s">
        <v>268</v>
      </c>
      <c r="O91" s="38" t="s">
        <v>11</v>
      </c>
      <c r="Q91" s="53" t="s">
        <v>268</v>
      </c>
      <c r="R91" s="38" t="s">
        <v>105</v>
      </c>
    </row>
    <row r="92" spans="1:18" x14ac:dyDescent="0.25">
      <c r="A92" t="s">
        <v>422</v>
      </c>
      <c r="B92" t="s">
        <v>12</v>
      </c>
      <c r="H92" s="53" t="s">
        <v>117</v>
      </c>
      <c r="I92" s="36" t="s">
        <v>123</v>
      </c>
      <c r="J92" s="34"/>
      <c r="K92" s="37" t="s">
        <v>11</v>
      </c>
      <c r="N92" s="53" t="s">
        <v>117</v>
      </c>
      <c r="O92" s="38" t="s">
        <v>11</v>
      </c>
      <c r="Q92" s="53" t="s">
        <v>117</v>
      </c>
      <c r="R92" s="38" t="s">
        <v>105</v>
      </c>
    </row>
    <row r="93" spans="1:18" x14ac:dyDescent="0.25">
      <c r="A93" t="s">
        <v>423</v>
      </c>
      <c r="B93" t="s">
        <v>16</v>
      </c>
      <c r="H93" s="53" t="s">
        <v>278</v>
      </c>
      <c r="I93" s="36" t="s">
        <v>123</v>
      </c>
      <c r="J93" s="34"/>
      <c r="K93" s="37" t="s">
        <v>11</v>
      </c>
      <c r="N93" s="53" t="s">
        <v>278</v>
      </c>
      <c r="O93" s="38" t="s">
        <v>11</v>
      </c>
      <c r="Q93" s="53" t="s">
        <v>278</v>
      </c>
      <c r="R93" s="38" t="s">
        <v>105</v>
      </c>
    </row>
    <row r="94" spans="1:18" x14ac:dyDescent="0.25">
      <c r="A94" t="s">
        <v>424</v>
      </c>
      <c r="B94" t="s">
        <v>15</v>
      </c>
      <c r="H94" s="53" t="s">
        <v>279</v>
      </c>
      <c r="I94" s="36" t="s">
        <v>123</v>
      </c>
      <c r="J94" s="34"/>
      <c r="K94" s="37" t="s">
        <v>11</v>
      </c>
      <c r="N94" s="53" t="s">
        <v>279</v>
      </c>
      <c r="O94" s="38" t="s">
        <v>11</v>
      </c>
      <c r="Q94" s="53" t="s">
        <v>279</v>
      </c>
      <c r="R94" s="38" t="s">
        <v>105</v>
      </c>
    </row>
    <row r="95" spans="1:18" x14ac:dyDescent="0.25">
      <c r="A95" t="s">
        <v>425</v>
      </c>
      <c r="B95" t="s">
        <v>15</v>
      </c>
      <c r="H95" s="53" t="s">
        <v>297</v>
      </c>
      <c r="I95" s="36" t="s">
        <v>123</v>
      </c>
      <c r="J95" s="34"/>
      <c r="K95" s="37" t="s">
        <v>11</v>
      </c>
      <c r="N95" s="53" t="s">
        <v>297</v>
      </c>
      <c r="O95" s="38" t="s">
        <v>11</v>
      </c>
      <c r="Q95" s="53" t="s">
        <v>297</v>
      </c>
      <c r="R95" s="38" t="s">
        <v>105</v>
      </c>
    </row>
    <row r="96" spans="1:18" x14ac:dyDescent="0.25">
      <c r="A96" t="s">
        <v>426</v>
      </c>
      <c r="B96" t="s">
        <v>16</v>
      </c>
      <c r="H96" s="53" t="s">
        <v>300</v>
      </c>
      <c r="I96" s="36" t="s">
        <v>123</v>
      </c>
      <c r="J96" s="34"/>
      <c r="K96" s="37" t="s">
        <v>11</v>
      </c>
      <c r="N96" s="53" t="s">
        <v>300</v>
      </c>
      <c r="O96" s="38" t="s">
        <v>11</v>
      </c>
      <c r="Q96" s="53" t="s">
        <v>300</v>
      </c>
      <c r="R96" s="38" t="s">
        <v>105</v>
      </c>
    </row>
    <row r="97" spans="1:18" x14ac:dyDescent="0.25">
      <c r="A97" t="s">
        <v>427</v>
      </c>
      <c r="B97" t="s">
        <v>14</v>
      </c>
      <c r="H97" s="53" t="s">
        <v>301</v>
      </c>
      <c r="I97" s="36" t="s">
        <v>123</v>
      </c>
      <c r="J97" s="34"/>
      <c r="K97" s="37" t="s">
        <v>11</v>
      </c>
      <c r="N97" s="53" t="s">
        <v>301</v>
      </c>
      <c r="O97" s="38" t="s">
        <v>11</v>
      </c>
      <c r="Q97" s="53" t="s">
        <v>301</v>
      </c>
      <c r="R97" s="38" t="s">
        <v>105</v>
      </c>
    </row>
    <row r="98" spans="1:18" x14ac:dyDescent="0.25">
      <c r="A98" t="s">
        <v>428</v>
      </c>
      <c r="B98" t="s">
        <v>12</v>
      </c>
      <c r="H98" s="53" t="s">
        <v>306</v>
      </c>
      <c r="I98" s="36" t="s">
        <v>123</v>
      </c>
      <c r="J98" s="34"/>
      <c r="K98" s="37" t="s">
        <v>11</v>
      </c>
      <c r="N98" s="53" t="s">
        <v>306</v>
      </c>
      <c r="O98" s="38" t="s">
        <v>11</v>
      </c>
      <c r="Q98" s="53" t="s">
        <v>306</v>
      </c>
      <c r="R98" s="38" t="s">
        <v>105</v>
      </c>
    </row>
    <row r="99" spans="1:18" x14ac:dyDescent="0.25">
      <c r="A99" t="s">
        <v>429</v>
      </c>
      <c r="B99" t="s">
        <v>14</v>
      </c>
      <c r="H99" s="53" t="s">
        <v>308</v>
      </c>
      <c r="I99" s="36" t="s">
        <v>123</v>
      </c>
      <c r="J99" s="34"/>
      <c r="K99" s="37" t="s">
        <v>11</v>
      </c>
      <c r="N99" s="53" t="s">
        <v>308</v>
      </c>
      <c r="O99" s="38" t="s">
        <v>11</v>
      </c>
      <c r="Q99" s="53" t="s">
        <v>308</v>
      </c>
      <c r="R99" s="38" t="s">
        <v>105</v>
      </c>
    </row>
    <row r="100" spans="1:18" x14ac:dyDescent="0.25">
      <c r="A100" t="s">
        <v>430</v>
      </c>
      <c r="B100" t="s">
        <v>16</v>
      </c>
      <c r="H100" s="53" t="s">
        <v>311</v>
      </c>
      <c r="I100" s="36" t="s">
        <v>123</v>
      </c>
      <c r="J100" s="34"/>
      <c r="K100" s="37" t="s">
        <v>11</v>
      </c>
      <c r="N100" s="53" t="s">
        <v>311</v>
      </c>
      <c r="O100" s="38" t="s">
        <v>11</v>
      </c>
      <c r="Q100" s="53" t="s">
        <v>311</v>
      </c>
      <c r="R100" s="38" t="s">
        <v>105</v>
      </c>
    </row>
    <row r="101" spans="1:18" x14ac:dyDescent="0.25">
      <c r="A101" t="s">
        <v>431</v>
      </c>
      <c r="B101" t="s">
        <v>12</v>
      </c>
      <c r="H101" s="53" t="s">
        <v>319</v>
      </c>
      <c r="I101" s="36" t="s">
        <v>123</v>
      </c>
      <c r="J101" s="34"/>
      <c r="K101" s="37" t="s">
        <v>11</v>
      </c>
      <c r="N101" s="53" t="s">
        <v>319</v>
      </c>
      <c r="O101" s="38" t="s">
        <v>11</v>
      </c>
      <c r="Q101" s="53" t="s">
        <v>319</v>
      </c>
      <c r="R101" s="38" t="s">
        <v>105</v>
      </c>
    </row>
    <row r="102" spans="1:18" x14ac:dyDescent="0.25">
      <c r="A102" t="s">
        <v>432</v>
      </c>
      <c r="B102" t="s">
        <v>16</v>
      </c>
      <c r="H102" s="53" t="s">
        <v>322</v>
      </c>
      <c r="I102" s="36" t="s">
        <v>123</v>
      </c>
      <c r="J102" s="34"/>
      <c r="K102" s="37" t="s">
        <v>11</v>
      </c>
      <c r="N102" s="53" t="s">
        <v>322</v>
      </c>
      <c r="O102" s="38" t="s">
        <v>11</v>
      </c>
      <c r="Q102" s="53" t="s">
        <v>322</v>
      </c>
      <c r="R102" s="38" t="s">
        <v>105</v>
      </c>
    </row>
    <row r="103" spans="1:18" x14ac:dyDescent="0.25">
      <c r="A103" t="s">
        <v>433</v>
      </c>
      <c r="B103" t="s">
        <v>16</v>
      </c>
      <c r="H103" s="53" t="s">
        <v>324</v>
      </c>
      <c r="I103" s="36" t="s">
        <v>123</v>
      </c>
      <c r="J103" s="34"/>
      <c r="K103" s="37" t="s">
        <v>11</v>
      </c>
      <c r="N103" s="53" t="s">
        <v>324</v>
      </c>
      <c r="O103" s="38" t="s">
        <v>11</v>
      </c>
      <c r="Q103" s="53" t="s">
        <v>324</v>
      </c>
      <c r="R103" s="38" t="s">
        <v>105</v>
      </c>
    </row>
    <row r="104" spans="1:18" x14ac:dyDescent="0.25">
      <c r="A104" t="s">
        <v>434</v>
      </c>
      <c r="B104" t="s">
        <v>12</v>
      </c>
      <c r="H104" s="53" t="s">
        <v>331</v>
      </c>
      <c r="I104" s="36" t="s">
        <v>123</v>
      </c>
      <c r="J104" s="34"/>
      <c r="K104" s="37" t="s">
        <v>11</v>
      </c>
      <c r="N104" s="53" t="s">
        <v>331</v>
      </c>
      <c r="O104" s="38" t="s">
        <v>11</v>
      </c>
      <c r="Q104" s="53" t="s">
        <v>331</v>
      </c>
      <c r="R104" s="38" t="s">
        <v>105</v>
      </c>
    </row>
    <row r="105" spans="1:18" x14ac:dyDescent="0.25">
      <c r="A105" t="s">
        <v>435</v>
      </c>
      <c r="B105" t="s">
        <v>12</v>
      </c>
      <c r="H105" s="53" t="s">
        <v>334</v>
      </c>
      <c r="I105" s="36" t="s">
        <v>123</v>
      </c>
      <c r="J105" s="34"/>
      <c r="K105" s="37" t="s">
        <v>11</v>
      </c>
      <c r="N105" s="53" t="s">
        <v>334</v>
      </c>
      <c r="O105" s="38" t="s">
        <v>11</v>
      </c>
      <c r="Q105" s="53" t="s">
        <v>334</v>
      </c>
      <c r="R105" s="38" t="s">
        <v>105</v>
      </c>
    </row>
    <row r="106" spans="1:18" x14ac:dyDescent="0.25">
      <c r="A106" t="s">
        <v>436</v>
      </c>
      <c r="B106" t="s">
        <v>12</v>
      </c>
      <c r="H106" s="53" t="s">
        <v>107</v>
      </c>
      <c r="I106" s="36" t="s">
        <v>123</v>
      </c>
      <c r="J106" s="34"/>
      <c r="K106" s="37" t="s">
        <v>11</v>
      </c>
      <c r="N106" s="53" t="s">
        <v>107</v>
      </c>
      <c r="O106" s="38" t="s">
        <v>11</v>
      </c>
      <c r="Q106" s="53" t="s">
        <v>107</v>
      </c>
      <c r="R106" s="38" t="s">
        <v>105</v>
      </c>
    </row>
    <row r="107" spans="1:18" x14ac:dyDescent="0.25">
      <c r="A107" t="s">
        <v>437</v>
      </c>
      <c r="B107" t="s">
        <v>16</v>
      </c>
      <c r="H107" s="53" t="s">
        <v>347</v>
      </c>
      <c r="I107" s="36" t="s">
        <v>123</v>
      </c>
      <c r="J107" s="34"/>
      <c r="K107" s="37" t="s">
        <v>11</v>
      </c>
      <c r="N107" s="53" t="s">
        <v>347</v>
      </c>
      <c r="O107" s="38" t="s">
        <v>11</v>
      </c>
      <c r="Q107" s="53" t="s">
        <v>347</v>
      </c>
      <c r="R107" s="38" t="s">
        <v>105</v>
      </c>
    </row>
    <row r="108" spans="1:18" x14ac:dyDescent="0.25">
      <c r="A108" t="s">
        <v>438</v>
      </c>
      <c r="B108" t="s">
        <v>14</v>
      </c>
      <c r="H108" s="53" t="s">
        <v>349</v>
      </c>
      <c r="I108" s="36" t="s">
        <v>123</v>
      </c>
      <c r="J108" s="34"/>
      <c r="K108" s="37" t="s">
        <v>11</v>
      </c>
      <c r="N108" s="53" t="s">
        <v>349</v>
      </c>
      <c r="O108" s="38" t="s">
        <v>11</v>
      </c>
      <c r="Q108" s="53" t="s">
        <v>349</v>
      </c>
      <c r="R108" s="38" t="s">
        <v>105</v>
      </c>
    </row>
    <row r="109" spans="1:18" x14ac:dyDescent="0.25">
      <c r="A109" t="s">
        <v>439</v>
      </c>
      <c r="B109" t="s">
        <v>15</v>
      </c>
      <c r="H109" s="53" t="s">
        <v>355</v>
      </c>
      <c r="I109" s="36" t="s">
        <v>123</v>
      </c>
      <c r="J109" s="34"/>
      <c r="K109" s="37" t="s">
        <v>11</v>
      </c>
      <c r="N109" s="53" t="s">
        <v>355</v>
      </c>
      <c r="O109" s="38" t="s">
        <v>11</v>
      </c>
      <c r="Q109" s="53" t="s">
        <v>355</v>
      </c>
      <c r="R109" s="38" t="s">
        <v>105</v>
      </c>
    </row>
    <row r="110" spans="1:18" x14ac:dyDescent="0.25">
      <c r="A110" t="s">
        <v>440</v>
      </c>
      <c r="B110" t="s">
        <v>16</v>
      </c>
      <c r="H110" s="53" t="s">
        <v>367</v>
      </c>
      <c r="I110" s="36" t="s">
        <v>123</v>
      </c>
      <c r="J110" s="34"/>
      <c r="K110" s="37" t="s">
        <v>11</v>
      </c>
      <c r="N110" s="53" t="s">
        <v>367</v>
      </c>
      <c r="O110" s="38" t="s">
        <v>11</v>
      </c>
      <c r="Q110" s="53" t="s">
        <v>367</v>
      </c>
      <c r="R110" s="38" t="s">
        <v>105</v>
      </c>
    </row>
    <row r="111" spans="1:18" x14ac:dyDescent="0.25">
      <c r="A111" t="s">
        <v>441</v>
      </c>
      <c r="B111" t="s">
        <v>12</v>
      </c>
      <c r="H111" s="53" t="s">
        <v>370</v>
      </c>
      <c r="I111" s="36" t="s">
        <v>123</v>
      </c>
      <c r="J111" s="34"/>
      <c r="K111" s="37" t="s">
        <v>11</v>
      </c>
      <c r="N111" s="53" t="s">
        <v>370</v>
      </c>
      <c r="O111" s="38" t="s">
        <v>11</v>
      </c>
      <c r="Q111" s="53" t="s">
        <v>370</v>
      </c>
      <c r="R111" s="38" t="s">
        <v>105</v>
      </c>
    </row>
    <row r="112" spans="1:18" x14ac:dyDescent="0.25">
      <c r="H112" s="53" t="s">
        <v>381</v>
      </c>
      <c r="I112" s="36" t="s">
        <v>123</v>
      </c>
      <c r="J112" s="34"/>
      <c r="K112" s="37" t="s">
        <v>11</v>
      </c>
      <c r="N112" s="53" t="s">
        <v>381</v>
      </c>
      <c r="O112" s="38" t="s">
        <v>11</v>
      </c>
      <c r="Q112" s="53" t="s">
        <v>381</v>
      </c>
      <c r="R112" s="38" t="s">
        <v>105</v>
      </c>
    </row>
    <row r="113" spans="1:18" x14ac:dyDescent="0.25">
      <c r="A113" t="s">
        <v>443</v>
      </c>
      <c r="B113" t="s">
        <v>16</v>
      </c>
      <c r="H113" s="51" t="s">
        <v>126</v>
      </c>
      <c r="I113" s="36" t="s">
        <v>124</v>
      </c>
      <c r="J113" s="33"/>
      <c r="K113" s="37" t="s">
        <v>125</v>
      </c>
      <c r="N113" s="51" t="s">
        <v>126</v>
      </c>
      <c r="O113" s="38" t="s">
        <v>125</v>
      </c>
      <c r="Q113" s="51" t="s">
        <v>126</v>
      </c>
      <c r="R113" s="53" t="s">
        <v>2</v>
      </c>
    </row>
    <row r="114" spans="1:18" x14ac:dyDescent="0.25">
      <c r="A114" t="s">
        <v>444</v>
      </c>
      <c r="B114" t="s">
        <v>14</v>
      </c>
      <c r="H114" s="51" t="s">
        <v>111</v>
      </c>
      <c r="I114" s="36" t="s">
        <v>124</v>
      </c>
      <c r="J114" s="33"/>
      <c r="K114" s="37" t="s">
        <v>125</v>
      </c>
      <c r="N114" s="51" t="s">
        <v>111</v>
      </c>
      <c r="O114" s="38" t="s">
        <v>125</v>
      </c>
      <c r="Q114" s="51" t="s">
        <v>111</v>
      </c>
      <c r="R114" s="53" t="s">
        <v>2</v>
      </c>
    </row>
    <row r="115" spans="1:18" x14ac:dyDescent="0.25">
      <c r="A115" t="s">
        <v>445</v>
      </c>
      <c r="B115" t="s">
        <v>16</v>
      </c>
      <c r="H115" s="51" t="s">
        <v>112</v>
      </c>
      <c r="I115" s="36" t="s">
        <v>124</v>
      </c>
      <c r="J115" s="33"/>
      <c r="K115" s="37" t="s">
        <v>125</v>
      </c>
      <c r="N115" s="51" t="s">
        <v>112</v>
      </c>
      <c r="O115" s="38" t="s">
        <v>125</v>
      </c>
      <c r="Q115" s="51" t="s">
        <v>112</v>
      </c>
      <c r="R115" s="53" t="s">
        <v>2</v>
      </c>
    </row>
    <row r="116" spans="1:18" x14ac:dyDescent="0.25">
      <c r="A116" t="s">
        <v>446</v>
      </c>
      <c r="B116" t="s">
        <v>12</v>
      </c>
      <c r="H116" s="51" t="s">
        <v>69</v>
      </c>
      <c r="I116" s="36" t="s">
        <v>124</v>
      </c>
      <c r="J116" s="33"/>
      <c r="K116" s="37" t="s">
        <v>125</v>
      </c>
      <c r="N116" s="51" t="s">
        <v>69</v>
      </c>
      <c r="O116" s="38" t="s">
        <v>125</v>
      </c>
      <c r="Q116" s="51" t="s">
        <v>69</v>
      </c>
      <c r="R116" s="53" t="s">
        <v>2</v>
      </c>
    </row>
    <row r="117" spans="1:18" x14ac:dyDescent="0.25">
      <c r="A117" t="s">
        <v>447</v>
      </c>
      <c r="B117" t="s">
        <v>16</v>
      </c>
      <c r="H117" s="51" t="s">
        <v>106</v>
      </c>
      <c r="I117" s="36" t="s">
        <v>124</v>
      </c>
      <c r="J117" s="33"/>
      <c r="K117" s="37" t="s">
        <v>125</v>
      </c>
      <c r="N117" s="51" t="s">
        <v>106</v>
      </c>
      <c r="O117" s="38" t="s">
        <v>125</v>
      </c>
      <c r="Q117" s="51" t="s">
        <v>106</v>
      </c>
      <c r="R117" s="53" t="s">
        <v>2</v>
      </c>
    </row>
    <row r="118" spans="1:18" x14ac:dyDescent="0.25">
      <c r="A118" t="s">
        <v>448</v>
      </c>
      <c r="B118" t="s">
        <v>16</v>
      </c>
      <c r="H118" s="51" t="s">
        <v>148</v>
      </c>
      <c r="I118" s="36" t="s">
        <v>124</v>
      </c>
      <c r="J118" s="33"/>
      <c r="K118" s="37" t="s">
        <v>125</v>
      </c>
      <c r="N118" s="51" t="s">
        <v>148</v>
      </c>
      <c r="O118" s="38" t="s">
        <v>125</v>
      </c>
      <c r="Q118" s="51" t="s">
        <v>148</v>
      </c>
      <c r="R118" s="53" t="s">
        <v>2</v>
      </c>
    </row>
    <row r="119" spans="1:18" x14ac:dyDescent="0.25">
      <c r="A119" t="s">
        <v>449</v>
      </c>
      <c r="B119" t="s">
        <v>16</v>
      </c>
      <c r="H119" s="51" t="s">
        <v>127</v>
      </c>
      <c r="I119" s="36" t="s">
        <v>124</v>
      </c>
      <c r="J119" s="33"/>
      <c r="K119" s="37" t="s">
        <v>125</v>
      </c>
      <c r="N119" s="51" t="s">
        <v>127</v>
      </c>
      <c r="O119" s="38" t="s">
        <v>125</v>
      </c>
      <c r="Q119" s="51" t="s">
        <v>127</v>
      </c>
      <c r="R119" s="53" t="s">
        <v>2</v>
      </c>
    </row>
    <row r="120" spans="1:18" x14ac:dyDescent="0.25">
      <c r="A120" t="s">
        <v>408</v>
      </c>
      <c r="B120" t="s">
        <v>14</v>
      </c>
      <c r="H120" s="51" t="s">
        <v>64</v>
      </c>
      <c r="I120" s="36" t="s">
        <v>124</v>
      </c>
      <c r="J120" s="33"/>
      <c r="K120" s="37" t="s">
        <v>125</v>
      </c>
      <c r="N120" s="51" t="s">
        <v>64</v>
      </c>
      <c r="O120" s="38" t="s">
        <v>125</v>
      </c>
      <c r="Q120" s="51" t="s">
        <v>64</v>
      </c>
      <c r="R120" s="53" t="s">
        <v>2</v>
      </c>
    </row>
    <row r="121" spans="1:18" x14ac:dyDescent="0.25">
      <c r="A121" t="s">
        <v>409</v>
      </c>
      <c r="B121" t="s">
        <v>12</v>
      </c>
      <c r="H121" s="51" t="s">
        <v>65</v>
      </c>
      <c r="I121" s="36" t="s">
        <v>124</v>
      </c>
      <c r="J121" s="33"/>
      <c r="K121" s="37" t="s">
        <v>125</v>
      </c>
      <c r="N121" s="51" t="s">
        <v>65</v>
      </c>
      <c r="O121" s="38" t="s">
        <v>125</v>
      </c>
      <c r="Q121" s="51" t="s">
        <v>65</v>
      </c>
      <c r="R121" s="53" t="s">
        <v>2</v>
      </c>
    </row>
    <row r="122" spans="1:18" x14ac:dyDescent="0.25">
      <c r="A122" t="s">
        <v>410</v>
      </c>
      <c r="B122" t="s">
        <v>12</v>
      </c>
      <c r="H122" s="51" t="s">
        <v>146</v>
      </c>
      <c r="I122" s="36" t="s">
        <v>124</v>
      </c>
      <c r="J122" s="33"/>
      <c r="K122" s="37" t="s">
        <v>125</v>
      </c>
      <c r="N122" s="51" t="s">
        <v>146</v>
      </c>
      <c r="O122" s="38" t="s">
        <v>125</v>
      </c>
      <c r="Q122" s="51" t="s">
        <v>146</v>
      </c>
      <c r="R122" s="53" t="s">
        <v>2</v>
      </c>
    </row>
    <row r="123" spans="1:18" x14ac:dyDescent="0.25">
      <c r="A123" t="s">
        <v>450</v>
      </c>
      <c r="B123" t="s">
        <v>16</v>
      </c>
      <c r="H123" s="51" t="s">
        <v>119</v>
      </c>
      <c r="I123" s="36" t="s">
        <v>124</v>
      </c>
      <c r="J123" s="33"/>
      <c r="K123" s="37" t="s">
        <v>125</v>
      </c>
      <c r="N123" s="51" t="s">
        <v>119</v>
      </c>
      <c r="O123" s="38" t="s">
        <v>125</v>
      </c>
      <c r="Q123" s="51" t="s">
        <v>119</v>
      </c>
      <c r="R123" s="53" t="s">
        <v>2</v>
      </c>
    </row>
    <row r="124" spans="1:18" x14ac:dyDescent="0.25">
      <c r="A124" t="s">
        <v>451</v>
      </c>
      <c r="B124" t="s">
        <v>16</v>
      </c>
      <c r="H124" s="51" t="s">
        <v>114</v>
      </c>
      <c r="I124" s="36" t="s">
        <v>124</v>
      </c>
      <c r="J124" s="33"/>
      <c r="K124" s="37" t="s">
        <v>125</v>
      </c>
      <c r="N124" s="51" t="s">
        <v>114</v>
      </c>
      <c r="O124" s="38" t="s">
        <v>125</v>
      </c>
      <c r="Q124" s="51" t="s">
        <v>114</v>
      </c>
      <c r="R124" s="53" t="s">
        <v>2</v>
      </c>
    </row>
    <row r="125" spans="1:18" x14ac:dyDescent="0.25">
      <c r="A125" t="s">
        <v>418</v>
      </c>
      <c r="B125" t="s">
        <v>12</v>
      </c>
      <c r="H125" s="51" t="s">
        <v>147</v>
      </c>
      <c r="I125" s="36" t="s">
        <v>124</v>
      </c>
      <c r="J125" s="33"/>
      <c r="K125" s="37" t="s">
        <v>125</v>
      </c>
      <c r="N125" s="51" t="s">
        <v>147</v>
      </c>
      <c r="O125" s="38" t="s">
        <v>125</v>
      </c>
      <c r="Q125" s="51" t="s">
        <v>147</v>
      </c>
      <c r="R125" s="53" t="s">
        <v>2</v>
      </c>
    </row>
    <row r="126" spans="1:18" x14ac:dyDescent="0.25">
      <c r="A126" t="s">
        <v>423</v>
      </c>
      <c r="B126" t="s">
        <v>16</v>
      </c>
      <c r="H126" s="51" t="s">
        <v>121</v>
      </c>
      <c r="I126" s="36" t="s">
        <v>124</v>
      </c>
      <c r="J126" s="33"/>
      <c r="K126" s="37" t="s">
        <v>125</v>
      </c>
      <c r="N126" s="51" t="s">
        <v>121</v>
      </c>
      <c r="O126" s="38" t="s">
        <v>125</v>
      </c>
      <c r="Q126" s="51" t="s">
        <v>121</v>
      </c>
      <c r="R126" s="53" t="s">
        <v>2</v>
      </c>
    </row>
    <row r="127" spans="1:18" x14ac:dyDescent="0.25">
      <c r="A127" t="s">
        <v>422</v>
      </c>
      <c r="B127" t="s">
        <v>12</v>
      </c>
      <c r="H127" s="51" t="s">
        <v>115</v>
      </c>
      <c r="I127" s="36" t="s">
        <v>124</v>
      </c>
      <c r="J127" s="33"/>
      <c r="K127" s="37" t="s">
        <v>125</v>
      </c>
      <c r="N127" s="51" t="s">
        <v>115</v>
      </c>
      <c r="O127" s="38" t="s">
        <v>125</v>
      </c>
      <c r="Q127" s="51" t="s">
        <v>115</v>
      </c>
      <c r="R127" s="53" t="s">
        <v>2</v>
      </c>
    </row>
    <row r="128" spans="1:18" x14ac:dyDescent="0.25">
      <c r="A128" t="s">
        <v>427</v>
      </c>
      <c r="B128" t="s">
        <v>14</v>
      </c>
      <c r="H128" s="51" t="s">
        <v>108</v>
      </c>
      <c r="I128" s="36" t="s">
        <v>124</v>
      </c>
      <c r="J128" s="33"/>
      <c r="K128" s="37" t="s">
        <v>125</v>
      </c>
      <c r="N128" s="51" t="s">
        <v>108</v>
      </c>
      <c r="O128" s="38" t="s">
        <v>125</v>
      </c>
      <c r="Q128" s="51" t="s">
        <v>108</v>
      </c>
      <c r="R128" s="53" t="s">
        <v>2</v>
      </c>
    </row>
    <row r="129" spans="1:18" x14ac:dyDescent="0.25">
      <c r="A129" t="s">
        <v>428</v>
      </c>
      <c r="B129" t="s">
        <v>12</v>
      </c>
      <c r="H129" s="51" t="s">
        <v>118</v>
      </c>
      <c r="I129" s="36" t="s">
        <v>124</v>
      </c>
      <c r="J129" s="33"/>
      <c r="K129" s="37" t="s">
        <v>125</v>
      </c>
      <c r="N129" s="51" t="s">
        <v>118</v>
      </c>
      <c r="O129" s="38" t="s">
        <v>125</v>
      </c>
      <c r="Q129" s="51" t="s">
        <v>118</v>
      </c>
      <c r="R129" s="53" t="s">
        <v>2</v>
      </c>
    </row>
    <row r="130" spans="1:18" x14ac:dyDescent="0.25">
      <c r="A130" t="s">
        <v>429</v>
      </c>
      <c r="B130" t="s">
        <v>14</v>
      </c>
      <c r="H130" s="53" t="s">
        <v>155</v>
      </c>
      <c r="I130" s="36" t="s">
        <v>124</v>
      </c>
      <c r="J130" s="33"/>
      <c r="K130" s="37" t="s">
        <v>125</v>
      </c>
      <c r="N130" s="53" t="s">
        <v>155</v>
      </c>
      <c r="O130" s="38" t="s">
        <v>125</v>
      </c>
      <c r="Q130" s="53" t="s">
        <v>155</v>
      </c>
      <c r="R130" s="53" t="s">
        <v>2</v>
      </c>
    </row>
    <row r="131" spans="1:18" x14ac:dyDescent="0.25">
      <c r="H131" s="53" t="s">
        <v>156</v>
      </c>
      <c r="I131" s="36" t="s">
        <v>124</v>
      </c>
      <c r="J131" s="33"/>
      <c r="K131" s="37" t="s">
        <v>125</v>
      </c>
      <c r="N131" s="53" t="s">
        <v>156</v>
      </c>
      <c r="O131" s="38" t="s">
        <v>125</v>
      </c>
      <c r="Q131" s="53" t="s">
        <v>156</v>
      </c>
      <c r="R131" s="53" t="s">
        <v>2</v>
      </c>
    </row>
    <row r="132" spans="1:18" x14ac:dyDescent="0.25">
      <c r="A132" t="s">
        <v>434</v>
      </c>
      <c r="B132" t="s">
        <v>12</v>
      </c>
      <c r="H132" s="53" t="s">
        <v>157</v>
      </c>
      <c r="I132" s="36" t="s">
        <v>124</v>
      </c>
      <c r="J132" s="33"/>
      <c r="K132" s="37" t="s">
        <v>125</v>
      </c>
      <c r="N132" s="53" t="s">
        <v>157</v>
      </c>
      <c r="O132" s="38" t="s">
        <v>125</v>
      </c>
      <c r="Q132" s="53" t="s">
        <v>157</v>
      </c>
      <c r="R132" s="53" t="s">
        <v>2</v>
      </c>
    </row>
    <row r="133" spans="1:18" x14ac:dyDescent="0.25">
      <c r="A133" t="s">
        <v>435</v>
      </c>
      <c r="B133" t="s">
        <v>12</v>
      </c>
      <c r="H133" s="53" t="s">
        <v>159</v>
      </c>
      <c r="I133" s="36" t="s">
        <v>124</v>
      </c>
      <c r="J133" s="33"/>
      <c r="K133" s="37" t="s">
        <v>125</v>
      </c>
      <c r="N133" s="53" t="s">
        <v>159</v>
      </c>
      <c r="O133" s="38" t="s">
        <v>125</v>
      </c>
      <c r="Q133" s="53" t="s">
        <v>159</v>
      </c>
      <c r="R133" s="53" t="s">
        <v>2</v>
      </c>
    </row>
    <row r="134" spans="1:18" x14ac:dyDescent="0.25">
      <c r="A134" t="s">
        <v>438</v>
      </c>
      <c r="B134" t="s">
        <v>14</v>
      </c>
      <c r="H134" s="53" t="s">
        <v>160</v>
      </c>
      <c r="I134" s="36" t="s">
        <v>124</v>
      </c>
      <c r="J134" s="33"/>
      <c r="K134" s="37" t="s">
        <v>125</v>
      </c>
      <c r="N134" s="53" t="s">
        <v>160</v>
      </c>
      <c r="O134" s="38" t="s">
        <v>125</v>
      </c>
      <c r="Q134" s="53" t="s">
        <v>160</v>
      </c>
      <c r="R134" s="53" t="s">
        <v>2</v>
      </c>
    </row>
    <row r="135" spans="1:18" x14ac:dyDescent="0.25">
      <c r="A135" t="s">
        <v>452</v>
      </c>
      <c r="B135" t="s">
        <v>12</v>
      </c>
      <c r="H135" s="53" t="s">
        <v>161</v>
      </c>
      <c r="I135" s="36" t="s">
        <v>124</v>
      </c>
      <c r="J135" s="33"/>
      <c r="K135" s="37" t="s">
        <v>125</v>
      </c>
      <c r="N135" s="53" t="s">
        <v>161</v>
      </c>
      <c r="O135" s="38" t="s">
        <v>125</v>
      </c>
      <c r="Q135" s="53" t="s">
        <v>161</v>
      </c>
      <c r="R135" s="53" t="s">
        <v>2</v>
      </c>
    </row>
    <row r="136" spans="1:18" x14ac:dyDescent="0.25">
      <c r="A136" t="s">
        <v>453</v>
      </c>
      <c r="B136" t="s">
        <v>16</v>
      </c>
      <c r="H136" s="53" t="s">
        <v>162</v>
      </c>
      <c r="I136" s="36" t="s">
        <v>124</v>
      </c>
      <c r="J136" s="33"/>
      <c r="K136" s="37" t="s">
        <v>125</v>
      </c>
      <c r="N136" s="53" t="s">
        <v>162</v>
      </c>
      <c r="O136" s="38" t="s">
        <v>125</v>
      </c>
      <c r="Q136" s="53" t="s">
        <v>162</v>
      </c>
      <c r="R136" s="53" t="s">
        <v>2</v>
      </c>
    </row>
    <row r="137" spans="1:18" x14ac:dyDescent="0.25">
      <c r="A137" t="s">
        <v>454</v>
      </c>
      <c r="B137" t="s">
        <v>12</v>
      </c>
      <c r="H137" s="53" t="s">
        <v>164</v>
      </c>
      <c r="I137" s="36" t="s">
        <v>124</v>
      </c>
      <c r="J137" s="33"/>
      <c r="K137" s="37" t="s">
        <v>125</v>
      </c>
      <c r="N137" s="53" t="s">
        <v>164</v>
      </c>
      <c r="O137" s="38" t="s">
        <v>125</v>
      </c>
      <c r="Q137" s="53" t="s">
        <v>164</v>
      </c>
      <c r="R137" s="53" t="s">
        <v>2</v>
      </c>
    </row>
    <row r="138" spans="1:18" x14ac:dyDescent="0.25">
      <c r="A138" t="s">
        <v>455</v>
      </c>
      <c r="B138" t="s">
        <v>12</v>
      </c>
      <c r="H138" s="53" t="s">
        <v>165</v>
      </c>
      <c r="I138" s="36" t="s">
        <v>124</v>
      </c>
      <c r="J138" s="33"/>
      <c r="K138" s="37" t="s">
        <v>125</v>
      </c>
      <c r="N138" s="53" t="s">
        <v>165</v>
      </c>
      <c r="O138" s="38" t="s">
        <v>125</v>
      </c>
      <c r="Q138" s="53" t="s">
        <v>165</v>
      </c>
      <c r="R138" s="53" t="s">
        <v>2</v>
      </c>
    </row>
    <row r="139" spans="1:18" x14ac:dyDescent="0.25">
      <c r="A139" t="s">
        <v>442</v>
      </c>
      <c r="B139" t="s">
        <v>16</v>
      </c>
      <c r="H139" s="53" t="s">
        <v>167</v>
      </c>
      <c r="I139" s="36" t="s">
        <v>124</v>
      </c>
      <c r="J139" s="33"/>
      <c r="K139" s="37" t="s">
        <v>125</v>
      </c>
      <c r="N139" s="53" t="s">
        <v>167</v>
      </c>
      <c r="O139" s="38" t="s">
        <v>125</v>
      </c>
      <c r="Q139" s="53" t="s">
        <v>167</v>
      </c>
      <c r="R139" s="53" t="s">
        <v>2</v>
      </c>
    </row>
    <row r="140" spans="1:18" x14ac:dyDescent="0.25">
      <c r="A140" t="s">
        <v>444</v>
      </c>
      <c r="B140" t="s">
        <v>14</v>
      </c>
      <c r="H140" s="53" t="s">
        <v>168</v>
      </c>
      <c r="I140" s="36" t="s">
        <v>124</v>
      </c>
      <c r="J140" s="33"/>
      <c r="K140" s="37" t="s">
        <v>125</v>
      </c>
      <c r="N140" s="53" t="s">
        <v>168</v>
      </c>
      <c r="O140" s="38" t="s">
        <v>125</v>
      </c>
      <c r="Q140" s="53" t="s">
        <v>168</v>
      </c>
      <c r="R140" s="53" t="s">
        <v>2</v>
      </c>
    </row>
    <row r="141" spans="1:18" x14ac:dyDescent="0.25">
      <c r="A141" t="s">
        <v>456</v>
      </c>
      <c r="B141" t="s">
        <v>15</v>
      </c>
      <c r="H141" s="53" t="s">
        <v>169</v>
      </c>
      <c r="I141" s="36" t="s">
        <v>124</v>
      </c>
      <c r="J141" s="33"/>
      <c r="K141" s="37" t="s">
        <v>125</v>
      </c>
      <c r="N141" s="53" t="s">
        <v>169</v>
      </c>
      <c r="O141" s="38" t="s">
        <v>125</v>
      </c>
      <c r="Q141" s="53" t="s">
        <v>169</v>
      </c>
      <c r="R141" s="53" t="s">
        <v>2</v>
      </c>
    </row>
    <row r="142" spans="1:18" x14ac:dyDescent="0.25">
      <c r="A142" t="s">
        <v>407</v>
      </c>
      <c r="B142" t="s">
        <v>16</v>
      </c>
      <c r="H142" s="53" t="s">
        <v>170</v>
      </c>
      <c r="I142" s="36" t="s">
        <v>124</v>
      </c>
      <c r="J142" s="33"/>
      <c r="K142" s="37" t="s">
        <v>125</v>
      </c>
      <c r="N142" s="53" t="s">
        <v>170</v>
      </c>
      <c r="O142" s="38" t="s">
        <v>125</v>
      </c>
      <c r="Q142" s="53" t="s">
        <v>170</v>
      </c>
      <c r="R142" s="53" t="s">
        <v>2</v>
      </c>
    </row>
    <row r="143" spans="1:18" x14ac:dyDescent="0.25">
      <c r="A143" t="s">
        <v>409</v>
      </c>
      <c r="B143" t="s">
        <v>12</v>
      </c>
      <c r="H143" s="53" t="s">
        <v>172</v>
      </c>
      <c r="I143" s="36" t="s">
        <v>124</v>
      </c>
      <c r="J143" s="33"/>
      <c r="K143" s="37" t="s">
        <v>125</v>
      </c>
      <c r="N143" s="53" t="s">
        <v>172</v>
      </c>
      <c r="O143" s="38" t="s">
        <v>125</v>
      </c>
      <c r="Q143" s="53" t="s">
        <v>172</v>
      </c>
      <c r="R143" s="53" t="s">
        <v>2</v>
      </c>
    </row>
    <row r="144" spans="1:18" x14ac:dyDescent="0.25">
      <c r="H144" s="53" t="s">
        <v>174</v>
      </c>
      <c r="I144" s="36" t="s">
        <v>124</v>
      </c>
      <c r="J144" s="33"/>
      <c r="K144" s="37" t="s">
        <v>125</v>
      </c>
      <c r="N144" s="53" t="s">
        <v>174</v>
      </c>
      <c r="O144" s="38" t="s">
        <v>125</v>
      </c>
      <c r="Q144" s="53" t="s">
        <v>174</v>
      </c>
      <c r="R144" s="53" t="s">
        <v>2</v>
      </c>
    </row>
    <row r="145" spans="1:18" x14ac:dyDescent="0.25">
      <c r="A145" t="s">
        <v>410</v>
      </c>
      <c r="B145" t="s">
        <v>12</v>
      </c>
      <c r="H145" s="53" t="s">
        <v>175</v>
      </c>
      <c r="I145" s="36" t="s">
        <v>124</v>
      </c>
      <c r="J145" s="33"/>
      <c r="K145" s="37" t="s">
        <v>125</v>
      </c>
      <c r="N145" s="53" t="s">
        <v>175</v>
      </c>
      <c r="O145" s="38" t="s">
        <v>125</v>
      </c>
      <c r="Q145" s="53" t="s">
        <v>175</v>
      </c>
      <c r="R145" s="53" t="s">
        <v>2</v>
      </c>
    </row>
    <row r="146" spans="1:18" x14ac:dyDescent="0.25">
      <c r="H146" s="53" t="s">
        <v>176</v>
      </c>
      <c r="I146" s="36" t="s">
        <v>124</v>
      </c>
      <c r="J146" s="33"/>
      <c r="K146" s="37" t="s">
        <v>125</v>
      </c>
      <c r="N146" s="53" t="s">
        <v>176</v>
      </c>
      <c r="O146" s="38" t="s">
        <v>125</v>
      </c>
      <c r="Q146" s="53" t="s">
        <v>176</v>
      </c>
      <c r="R146" s="53" t="s">
        <v>2</v>
      </c>
    </row>
    <row r="147" spans="1:18" x14ac:dyDescent="0.25">
      <c r="A147" t="s">
        <v>446</v>
      </c>
      <c r="B147" t="s">
        <v>16</v>
      </c>
      <c r="H147" s="53" t="s">
        <v>182</v>
      </c>
      <c r="I147" s="36" t="s">
        <v>124</v>
      </c>
      <c r="J147" s="33"/>
      <c r="K147" s="37" t="s">
        <v>125</v>
      </c>
      <c r="N147" s="53" t="s">
        <v>182</v>
      </c>
      <c r="O147" s="38" t="s">
        <v>125</v>
      </c>
      <c r="Q147" s="53" t="s">
        <v>182</v>
      </c>
      <c r="R147" s="53" t="s">
        <v>2</v>
      </c>
    </row>
    <row r="148" spans="1:18" x14ac:dyDescent="0.25">
      <c r="A148" t="s">
        <v>434</v>
      </c>
      <c r="B148" t="s">
        <v>12</v>
      </c>
      <c r="H148" s="53" t="s">
        <v>184</v>
      </c>
      <c r="I148" s="36" t="s">
        <v>124</v>
      </c>
      <c r="J148" s="33"/>
      <c r="K148" s="37" t="s">
        <v>125</v>
      </c>
      <c r="N148" s="53" t="s">
        <v>184</v>
      </c>
      <c r="O148" s="38" t="s">
        <v>125</v>
      </c>
      <c r="Q148" s="53" t="s">
        <v>184</v>
      </c>
      <c r="R148" s="53" t="s">
        <v>2</v>
      </c>
    </row>
    <row r="149" spans="1:18" x14ac:dyDescent="0.25">
      <c r="A149" t="s">
        <v>435</v>
      </c>
      <c r="B149" t="s">
        <v>12</v>
      </c>
      <c r="H149" s="53" t="s">
        <v>185</v>
      </c>
      <c r="I149" s="36" t="s">
        <v>124</v>
      </c>
      <c r="J149" s="33"/>
      <c r="K149" s="37" t="s">
        <v>125</v>
      </c>
      <c r="N149" s="53" t="s">
        <v>185</v>
      </c>
      <c r="O149" s="38" t="s">
        <v>125</v>
      </c>
      <c r="Q149" s="53" t="s">
        <v>185</v>
      </c>
      <c r="R149" s="53" t="s">
        <v>2</v>
      </c>
    </row>
    <row r="150" spans="1:18" x14ac:dyDescent="0.25">
      <c r="A150" t="s">
        <v>428</v>
      </c>
      <c r="B150" t="s">
        <v>12</v>
      </c>
      <c r="H150" s="53" t="s">
        <v>186</v>
      </c>
      <c r="I150" s="36" t="s">
        <v>124</v>
      </c>
      <c r="J150" s="33"/>
      <c r="K150" s="37" t="s">
        <v>125</v>
      </c>
      <c r="N150" s="53" t="s">
        <v>186</v>
      </c>
      <c r="O150" s="38" t="s">
        <v>125</v>
      </c>
      <c r="Q150" s="53" t="s">
        <v>186</v>
      </c>
      <c r="R150" s="53" t="s">
        <v>2</v>
      </c>
    </row>
    <row r="151" spans="1:18" x14ac:dyDescent="0.25">
      <c r="A151" t="s">
        <v>457</v>
      </c>
      <c r="B151" t="s">
        <v>16</v>
      </c>
      <c r="H151" s="53" t="s">
        <v>188</v>
      </c>
      <c r="I151" s="36" t="s">
        <v>124</v>
      </c>
      <c r="J151" s="33"/>
      <c r="K151" s="37" t="s">
        <v>125</v>
      </c>
      <c r="N151" s="53" t="s">
        <v>188</v>
      </c>
      <c r="O151" s="38" t="s">
        <v>125</v>
      </c>
      <c r="Q151" s="53" t="s">
        <v>188</v>
      </c>
      <c r="R151" s="53" t="s">
        <v>2</v>
      </c>
    </row>
    <row r="152" spans="1:18" x14ac:dyDescent="0.25">
      <c r="A152" t="s">
        <v>409</v>
      </c>
      <c r="B152" t="s">
        <v>12</v>
      </c>
      <c r="H152" s="53" t="s">
        <v>189</v>
      </c>
      <c r="I152" s="36" t="s">
        <v>124</v>
      </c>
      <c r="J152" s="33"/>
      <c r="K152" s="37" t="s">
        <v>125</v>
      </c>
      <c r="N152" s="53" t="s">
        <v>189</v>
      </c>
      <c r="O152" s="38" t="s">
        <v>125</v>
      </c>
      <c r="Q152" s="53" t="s">
        <v>189</v>
      </c>
      <c r="R152" s="53" t="s">
        <v>2</v>
      </c>
    </row>
    <row r="153" spans="1:18" x14ac:dyDescent="0.25">
      <c r="A153" t="s">
        <v>431</v>
      </c>
      <c r="B153" t="s">
        <v>12</v>
      </c>
      <c r="H153" s="53" t="s">
        <v>190</v>
      </c>
      <c r="I153" s="36" t="s">
        <v>124</v>
      </c>
      <c r="J153" s="33"/>
      <c r="K153" s="37" t="s">
        <v>125</v>
      </c>
      <c r="N153" s="53" t="s">
        <v>190</v>
      </c>
      <c r="O153" s="38" t="s">
        <v>125</v>
      </c>
      <c r="Q153" s="53" t="s">
        <v>190</v>
      </c>
      <c r="R153" s="53" t="s">
        <v>2</v>
      </c>
    </row>
    <row r="154" spans="1:18" x14ac:dyDescent="0.25">
      <c r="A154" t="s">
        <v>458</v>
      </c>
      <c r="B154" t="s">
        <v>16</v>
      </c>
      <c r="H154" s="53" t="s">
        <v>192</v>
      </c>
      <c r="I154" s="36" t="s">
        <v>124</v>
      </c>
      <c r="J154" s="33"/>
      <c r="K154" s="37" t="s">
        <v>125</v>
      </c>
      <c r="N154" s="53" t="s">
        <v>192</v>
      </c>
      <c r="O154" s="38" t="s">
        <v>125</v>
      </c>
      <c r="Q154" s="53" t="s">
        <v>192</v>
      </c>
      <c r="R154" s="53" t="s">
        <v>2</v>
      </c>
    </row>
    <row r="155" spans="1:18" x14ac:dyDescent="0.25">
      <c r="A155" t="s">
        <v>410</v>
      </c>
      <c r="B155" t="s">
        <v>12</v>
      </c>
      <c r="H155" s="53" t="s">
        <v>199</v>
      </c>
      <c r="I155" s="36" t="s">
        <v>124</v>
      </c>
      <c r="J155" s="33"/>
      <c r="K155" s="37" t="s">
        <v>125</v>
      </c>
      <c r="N155" s="53" t="s">
        <v>199</v>
      </c>
      <c r="O155" s="38" t="s">
        <v>125</v>
      </c>
      <c r="Q155" s="53" t="s">
        <v>199</v>
      </c>
      <c r="R155" s="53" t="s">
        <v>2</v>
      </c>
    </row>
    <row r="156" spans="1:18" x14ac:dyDescent="0.25">
      <c r="A156" t="s">
        <v>434</v>
      </c>
      <c r="B156" t="s">
        <v>12</v>
      </c>
      <c r="H156" s="53" t="s">
        <v>200</v>
      </c>
      <c r="I156" s="36" t="s">
        <v>124</v>
      </c>
      <c r="J156" s="33"/>
      <c r="K156" s="37" t="s">
        <v>125</v>
      </c>
      <c r="N156" s="53" t="s">
        <v>200</v>
      </c>
      <c r="O156" s="38" t="s">
        <v>125</v>
      </c>
      <c r="Q156" s="53" t="s">
        <v>200</v>
      </c>
      <c r="R156" s="53" t="s">
        <v>2</v>
      </c>
    </row>
    <row r="157" spans="1:18" x14ac:dyDescent="0.25">
      <c r="A157" t="s">
        <v>420</v>
      </c>
      <c r="B157" t="s">
        <v>16</v>
      </c>
      <c r="H157" s="53" t="s">
        <v>114</v>
      </c>
      <c r="I157" s="36" t="s">
        <v>124</v>
      </c>
      <c r="J157" s="33"/>
      <c r="K157" s="37" t="s">
        <v>125</v>
      </c>
      <c r="N157" s="53" t="s">
        <v>114</v>
      </c>
      <c r="O157" s="38" t="s">
        <v>125</v>
      </c>
      <c r="Q157" s="53" t="s">
        <v>114</v>
      </c>
      <c r="R157" s="53" t="s">
        <v>2</v>
      </c>
    </row>
    <row r="158" spans="1:18" x14ac:dyDescent="0.25">
      <c r="A158" t="s">
        <v>459</v>
      </c>
      <c r="B158" t="s">
        <v>14</v>
      </c>
      <c r="H158" s="53" t="s">
        <v>203</v>
      </c>
      <c r="I158" s="36" t="s">
        <v>124</v>
      </c>
      <c r="J158" s="33"/>
      <c r="K158" s="37" t="s">
        <v>125</v>
      </c>
      <c r="N158" s="53" t="s">
        <v>203</v>
      </c>
      <c r="O158" s="38" t="s">
        <v>125</v>
      </c>
      <c r="Q158" s="53" t="s">
        <v>203</v>
      </c>
      <c r="R158" s="53" t="s">
        <v>2</v>
      </c>
    </row>
    <row r="159" spans="1:18" x14ac:dyDescent="0.25">
      <c r="H159" s="53" t="s">
        <v>207</v>
      </c>
      <c r="I159" s="36" t="s">
        <v>124</v>
      </c>
      <c r="J159" s="33"/>
      <c r="K159" s="37" t="s">
        <v>125</v>
      </c>
      <c r="N159" s="53" t="s">
        <v>207</v>
      </c>
      <c r="O159" s="38" t="s">
        <v>125</v>
      </c>
      <c r="Q159" s="53" t="s">
        <v>207</v>
      </c>
      <c r="R159" s="53" t="s">
        <v>2</v>
      </c>
    </row>
    <row r="160" spans="1:18" x14ac:dyDescent="0.25">
      <c r="A160" t="s">
        <v>424</v>
      </c>
      <c r="B160" t="s">
        <v>15</v>
      </c>
      <c r="H160" s="53" t="s">
        <v>208</v>
      </c>
      <c r="I160" s="36" t="s">
        <v>124</v>
      </c>
      <c r="J160" s="33"/>
      <c r="K160" s="37" t="s">
        <v>125</v>
      </c>
      <c r="N160" s="53" t="s">
        <v>208</v>
      </c>
      <c r="O160" s="38" t="s">
        <v>125</v>
      </c>
      <c r="Q160" s="53" t="s">
        <v>208</v>
      </c>
      <c r="R160" s="53" t="s">
        <v>2</v>
      </c>
    </row>
    <row r="161" spans="1:18" x14ac:dyDescent="0.25">
      <c r="A161" t="s">
        <v>428</v>
      </c>
      <c r="B161" t="s">
        <v>12</v>
      </c>
      <c r="H161" s="53" t="s">
        <v>209</v>
      </c>
      <c r="I161" s="36" t="s">
        <v>124</v>
      </c>
      <c r="J161" s="33"/>
      <c r="K161" s="37" t="s">
        <v>125</v>
      </c>
      <c r="N161" s="53" t="s">
        <v>209</v>
      </c>
      <c r="O161" s="38" t="s">
        <v>125</v>
      </c>
      <c r="Q161" s="53" t="s">
        <v>209</v>
      </c>
      <c r="R161" s="53" t="s">
        <v>2</v>
      </c>
    </row>
    <row r="162" spans="1:18" x14ac:dyDescent="0.25">
      <c r="A162" t="s">
        <v>410</v>
      </c>
      <c r="B162" t="s">
        <v>12</v>
      </c>
      <c r="H162" s="53" t="s">
        <v>210</v>
      </c>
      <c r="I162" s="36" t="s">
        <v>124</v>
      </c>
      <c r="J162" s="33"/>
      <c r="K162" s="37" t="s">
        <v>125</v>
      </c>
      <c r="N162" s="53" t="s">
        <v>210</v>
      </c>
      <c r="O162" s="38" t="s">
        <v>125</v>
      </c>
      <c r="Q162" s="53" t="s">
        <v>210</v>
      </c>
      <c r="R162" s="53" t="s">
        <v>2</v>
      </c>
    </row>
    <row r="163" spans="1:18" x14ac:dyDescent="0.25">
      <c r="A163" t="s">
        <v>422</v>
      </c>
      <c r="B163" t="s">
        <v>12</v>
      </c>
      <c r="H163" s="53" t="s">
        <v>211</v>
      </c>
      <c r="I163" s="36" t="s">
        <v>124</v>
      </c>
      <c r="J163" s="33"/>
      <c r="K163" s="37" t="s">
        <v>125</v>
      </c>
      <c r="N163" s="53" t="s">
        <v>211</v>
      </c>
      <c r="O163" s="38" t="s">
        <v>125</v>
      </c>
      <c r="Q163" s="53" t="s">
        <v>211</v>
      </c>
      <c r="R163" s="53" t="s">
        <v>2</v>
      </c>
    </row>
    <row r="164" spans="1:18" x14ac:dyDescent="0.25">
      <c r="A164" t="s">
        <v>414</v>
      </c>
      <c r="B164" t="s">
        <v>14</v>
      </c>
      <c r="H164" s="53" t="s">
        <v>213</v>
      </c>
      <c r="I164" s="36" t="s">
        <v>124</v>
      </c>
      <c r="J164" s="33"/>
      <c r="K164" s="37" t="s">
        <v>125</v>
      </c>
      <c r="N164" s="53" t="s">
        <v>213</v>
      </c>
      <c r="O164" s="38" t="s">
        <v>125</v>
      </c>
      <c r="Q164" s="53" t="s">
        <v>213</v>
      </c>
      <c r="R164" s="53" t="s">
        <v>2</v>
      </c>
    </row>
    <row r="165" spans="1:18" x14ac:dyDescent="0.25">
      <c r="A165" t="s">
        <v>431</v>
      </c>
      <c r="B165" t="s">
        <v>12</v>
      </c>
      <c r="H165" s="53" t="s">
        <v>214</v>
      </c>
      <c r="I165" s="36" t="s">
        <v>124</v>
      </c>
      <c r="J165" s="33"/>
      <c r="K165" s="37" t="s">
        <v>125</v>
      </c>
      <c r="N165" s="53" t="s">
        <v>214</v>
      </c>
      <c r="O165" s="38" t="s">
        <v>125</v>
      </c>
      <c r="Q165" s="53" t="s">
        <v>214</v>
      </c>
      <c r="R165" s="53" t="s">
        <v>2</v>
      </c>
    </row>
    <row r="166" spans="1:18" x14ac:dyDescent="0.25">
      <c r="A166" t="s">
        <v>455</v>
      </c>
      <c r="B166" t="s">
        <v>12</v>
      </c>
      <c r="H166" s="53" t="s">
        <v>215</v>
      </c>
      <c r="I166" s="36" t="s">
        <v>124</v>
      </c>
      <c r="J166" s="33"/>
      <c r="K166" s="37" t="s">
        <v>125</v>
      </c>
      <c r="N166" s="53" t="s">
        <v>215</v>
      </c>
      <c r="O166" s="38" t="s">
        <v>125</v>
      </c>
      <c r="Q166" s="53" t="s">
        <v>215</v>
      </c>
      <c r="R166" s="53" t="s">
        <v>2</v>
      </c>
    </row>
    <row r="167" spans="1:18" x14ac:dyDescent="0.25">
      <c r="H167" s="53" t="s">
        <v>216</v>
      </c>
      <c r="I167" s="36" t="s">
        <v>124</v>
      </c>
      <c r="J167" s="33"/>
      <c r="K167" s="37" t="s">
        <v>125</v>
      </c>
      <c r="N167" s="53" t="s">
        <v>216</v>
      </c>
      <c r="O167" s="38" t="s">
        <v>125</v>
      </c>
      <c r="Q167" s="53" t="s">
        <v>216</v>
      </c>
      <c r="R167" s="53" t="s">
        <v>2</v>
      </c>
    </row>
    <row r="168" spans="1:18" x14ac:dyDescent="0.25">
      <c r="H168" s="53" t="s">
        <v>217</v>
      </c>
      <c r="I168" s="36" t="s">
        <v>124</v>
      </c>
      <c r="J168" s="33"/>
      <c r="K168" s="37" t="s">
        <v>125</v>
      </c>
      <c r="N168" s="53" t="s">
        <v>217</v>
      </c>
      <c r="O168" s="38" t="s">
        <v>125</v>
      </c>
      <c r="Q168" s="53" t="s">
        <v>217</v>
      </c>
      <c r="R168" s="53" t="s">
        <v>2</v>
      </c>
    </row>
    <row r="169" spans="1:18" x14ac:dyDescent="0.25">
      <c r="H169" s="53" t="s">
        <v>218</v>
      </c>
      <c r="I169" s="36" t="s">
        <v>124</v>
      </c>
      <c r="J169" s="33"/>
      <c r="K169" s="37" t="s">
        <v>125</v>
      </c>
      <c r="N169" s="53" t="s">
        <v>218</v>
      </c>
      <c r="O169" s="38" t="s">
        <v>125</v>
      </c>
      <c r="Q169" s="53" t="s">
        <v>218</v>
      </c>
      <c r="R169" s="53" t="s">
        <v>2</v>
      </c>
    </row>
    <row r="170" spans="1:18" x14ac:dyDescent="0.25">
      <c r="H170" s="53" t="s">
        <v>219</v>
      </c>
      <c r="I170" s="36" t="s">
        <v>124</v>
      </c>
      <c r="J170" s="33"/>
      <c r="K170" s="37" t="s">
        <v>125</v>
      </c>
      <c r="N170" s="53" t="s">
        <v>219</v>
      </c>
      <c r="O170" s="38" t="s">
        <v>125</v>
      </c>
      <c r="Q170" s="53" t="s">
        <v>219</v>
      </c>
      <c r="R170" s="53" t="s">
        <v>2</v>
      </c>
    </row>
    <row r="171" spans="1:18" x14ac:dyDescent="0.25">
      <c r="H171" s="53" t="s">
        <v>220</v>
      </c>
      <c r="I171" s="36" t="s">
        <v>124</v>
      </c>
      <c r="J171" s="33"/>
      <c r="K171" s="37" t="s">
        <v>125</v>
      </c>
      <c r="N171" s="53" t="s">
        <v>220</v>
      </c>
      <c r="O171" s="38" t="s">
        <v>125</v>
      </c>
      <c r="Q171" s="53" t="s">
        <v>220</v>
      </c>
      <c r="R171" s="53" t="s">
        <v>2</v>
      </c>
    </row>
    <row r="172" spans="1:18" x14ac:dyDescent="0.25">
      <c r="H172" s="53" t="s">
        <v>222</v>
      </c>
      <c r="I172" s="36" t="s">
        <v>124</v>
      </c>
      <c r="J172" s="33"/>
      <c r="K172" s="37" t="s">
        <v>125</v>
      </c>
      <c r="N172" s="53" t="s">
        <v>222</v>
      </c>
      <c r="O172" s="38" t="s">
        <v>125</v>
      </c>
      <c r="Q172" s="53" t="s">
        <v>222</v>
      </c>
      <c r="R172" s="53" t="s">
        <v>2</v>
      </c>
    </row>
    <row r="173" spans="1:18" x14ac:dyDescent="0.25">
      <c r="H173" s="53" t="s">
        <v>223</v>
      </c>
      <c r="I173" s="36" t="s">
        <v>124</v>
      </c>
      <c r="J173" s="33"/>
      <c r="K173" s="37" t="s">
        <v>125</v>
      </c>
      <c r="N173" s="53" t="s">
        <v>223</v>
      </c>
      <c r="O173" s="38" t="s">
        <v>125</v>
      </c>
      <c r="Q173" s="53" t="s">
        <v>223</v>
      </c>
      <c r="R173" s="53" t="s">
        <v>2</v>
      </c>
    </row>
    <row r="174" spans="1:18" x14ac:dyDescent="0.25">
      <c r="H174" s="53" t="s">
        <v>224</v>
      </c>
      <c r="I174" s="36" t="s">
        <v>124</v>
      </c>
      <c r="J174" s="33"/>
      <c r="K174" s="37" t="s">
        <v>125</v>
      </c>
      <c r="N174" s="53" t="s">
        <v>224</v>
      </c>
      <c r="O174" s="38" t="s">
        <v>125</v>
      </c>
      <c r="Q174" s="53" t="s">
        <v>224</v>
      </c>
      <c r="R174" s="53" t="s">
        <v>2</v>
      </c>
    </row>
    <row r="175" spans="1:18" x14ac:dyDescent="0.25">
      <c r="H175" s="53" t="s">
        <v>226</v>
      </c>
      <c r="I175" s="36" t="s">
        <v>124</v>
      </c>
      <c r="J175" s="33"/>
      <c r="K175" s="37" t="s">
        <v>125</v>
      </c>
      <c r="N175" s="53" t="s">
        <v>226</v>
      </c>
      <c r="O175" s="38" t="s">
        <v>125</v>
      </c>
      <c r="Q175" s="53" t="s">
        <v>226</v>
      </c>
      <c r="R175" s="53" t="s">
        <v>2</v>
      </c>
    </row>
    <row r="176" spans="1:18" x14ac:dyDescent="0.25">
      <c r="H176" s="53" t="s">
        <v>228</v>
      </c>
      <c r="I176" s="36" t="s">
        <v>124</v>
      </c>
      <c r="J176" s="33"/>
      <c r="K176" s="37" t="s">
        <v>125</v>
      </c>
      <c r="N176" s="53" t="s">
        <v>228</v>
      </c>
      <c r="O176" s="38" t="s">
        <v>125</v>
      </c>
      <c r="Q176" s="53" t="s">
        <v>228</v>
      </c>
      <c r="R176" s="53" t="s">
        <v>2</v>
      </c>
    </row>
    <row r="177" spans="8:18" x14ac:dyDescent="0.25">
      <c r="H177" s="53" t="s">
        <v>229</v>
      </c>
      <c r="I177" s="36" t="s">
        <v>124</v>
      </c>
      <c r="J177" s="33"/>
      <c r="K177" s="37" t="s">
        <v>125</v>
      </c>
      <c r="N177" s="53" t="s">
        <v>229</v>
      </c>
      <c r="O177" s="38" t="s">
        <v>125</v>
      </c>
      <c r="Q177" s="53" t="s">
        <v>229</v>
      </c>
      <c r="R177" s="53" t="s">
        <v>2</v>
      </c>
    </row>
    <row r="178" spans="8:18" x14ac:dyDescent="0.25">
      <c r="H178" s="53" t="s">
        <v>230</v>
      </c>
      <c r="I178" s="36" t="s">
        <v>124</v>
      </c>
      <c r="J178" s="33"/>
      <c r="K178" s="37" t="s">
        <v>125</v>
      </c>
      <c r="N178" s="53" t="s">
        <v>230</v>
      </c>
      <c r="O178" s="38" t="s">
        <v>125</v>
      </c>
      <c r="Q178" s="53" t="s">
        <v>230</v>
      </c>
      <c r="R178" s="53" t="s">
        <v>2</v>
      </c>
    </row>
    <row r="179" spans="8:18" x14ac:dyDescent="0.25">
      <c r="H179" s="53" t="s">
        <v>233</v>
      </c>
      <c r="I179" s="36" t="s">
        <v>124</v>
      </c>
      <c r="J179" s="33"/>
      <c r="K179" s="37" t="s">
        <v>125</v>
      </c>
      <c r="N179" s="53" t="s">
        <v>233</v>
      </c>
      <c r="O179" s="38" t="s">
        <v>125</v>
      </c>
      <c r="Q179" s="53" t="s">
        <v>233</v>
      </c>
      <c r="R179" s="53" t="s">
        <v>2</v>
      </c>
    </row>
    <row r="180" spans="8:18" x14ac:dyDescent="0.25">
      <c r="H180" s="53" t="s">
        <v>234</v>
      </c>
      <c r="I180" s="36" t="s">
        <v>124</v>
      </c>
      <c r="J180" s="33"/>
      <c r="K180" s="37" t="s">
        <v>125</v>
      </c>
      <c r="N180" s="53" t="s">
        <v>234</v>
      </c>
      <c r="O180" s="38" t="s">
        <v>125</v>
      </c>
      <c r="Q180" s="53" t="s">
        <v>234</v>
      </c>
      <c r="R180" s="53" t="s">
        <v>2</v>
      </c>
    </row>
    <row r="181" spans="8:18" x14ac:dyDescent="0.25">
      <c r="H181" s="53" t="s">
        <v>235</v>
      </c>
      <c r="I181" s="36" t="s">
        <v>124</v>
      </c>
      <c r="J181" s="33"/>
      <c r="K181" s="37" t="s">
        <v>125</v>
      </c>
      <c r="N181" s="53" t="s">
        <v>235</v>
      </c>
      <c r="O181" s="38" t="s">
        <v>125</v>
      </c>
      <c r="Q181" s="53" t="s">
        <v>235</v>
      </c>
      <c r="R181" s="53" t="s">
        <v>2</v>
      </c>
    </row>
    <row r="182" spans="8:18" x14ac:dyDescent="0.25">
      <c r="H182" s="53" t="s">
        <v>237</v>
      </c>
      <c r="I182" s="36" t="s">
        <v>124</v>
      </c>
      <c r="J182" s="33"/>
      <c r="K182" s="37" t="s">
        <v>125</v>
      </c>
      <c r="N182" s="53" t="s">
        <v>237</v>
      </c>
      <c r="O182" s="38" t="s">
        <v>125</v>
      </c>
      <c r="Q182" s="53" t="s">
        <v>237</v>
      </c>
      <c r="R182" s="53" t="s">
        <v>2</v>
      </c>
    </row>
    <row r="183" spans="8:18" x14ac:dyDescent="0.25">
      <c r="H183" s="53" t="s">
        <v>238</v>
      </c>
      <c r="I183" s="36" t="s">
        <v>124</v>
      </c>
      <c r="J183" s="33"/>
      <c r="K183" s="37" t="s">
        <v>125</v>
      </c>
      <c r="N183" s="53" t="s">
        <v>238</v>
      </c>
      <c r="O183" s="38" t="s">
        <v>125</v>
      </c>
      <c r="Q183" s="53" t="s">
        <v>238</v>
      </c>
      <c r="R183" s="53" t="s">
        <v>2</v>
      </c>
    </row>
    <row r="184" spans="8:18" x14ac:dyDescent="0.25">
      <c r="H184" s="53" t="s">
        <v>239</v>
      </c>
      <c r="I184" s="36" t="s">
        <v>124</v>
      </c>
      <c r="J184" s="33"/>
      <c r="K184" s="37" t="s">
        <v>125</v>
      </c>
      <c r="N184" s="53" t="s">
        <v>239</v>
      </c>
      <c r="O184" s="38" t="s">
        <v>125</v>
      </c>
      <c r="Q184" s="53" t="s">
        <v>239</v>
      </c>
      <c r="R184" s="53" t="s">
        <v>2</v>
      </c>
    </row>
    <row r="185" spans="8:18" x14ac:dyDescent="0.25">
      <c r="H185" s="53" t="s">
        <v>240</v>
      </c>
      <c r="I185" s="36" t="s">
        <v>124</v>
      </c>
      <c r="J185" s="33"/>
      <c r="K185" s="37" t="s">
        <v>125</v>
      </c>
      <c r="N185" s="53" t="s">
        <v>240</v>
      </c>
      <c r="O185" s="38" t="s">
        <v>125</v>
      </c>
      <c r="Q185" s="53" t="s">
        <v>240</v>
      </c>
      <c r="R185" s="53" t="s">
        <v>2</v>
      </c>
    </row>
    <row r="186" spans="8:18" x14ac:dyDescent="0.25">
      <c r="H186" s="53" t="s">
        <v>241</v>
      </c>
      <c r="I186" s="36" t="s">
        <v>124</v>
      </c>
      <c r="J186" s="33"/>
      <c r="K186" s="37" t="s">
        <v>125</v>
      </c>
      <c r="N186" s="53" t="s">
        <v>241</v>
      </c>
      <c r="O186" s="38" t="s">
        <v>125</v>
      </c>
      <c r="Q186" s="53" t="s">
        <v>241</v>
      </c>
      <c r="R186" s="53" t="s">
        <v>2</v>
      </c>
    </row>
    <row r="187" spans="8:18" x14ac:dyDescent="0.25">
      <c r="H187" s="53" t="s">
        <v>243</v>
      </c>
      <c r="I187" s="36" t="s">
        <v>124</v>
      </c>
      <c r="J187" s="33"/>
      <c r="K187" s="37" t="s">
        <v>125</v>
      </c>
      <c r="N187" s="53" t="s">
        <v>243</v>
      </c>
      <c r="O187" s="38" t="s">
        <v>125</v>
      </c>
      <c r="Q187" s="53" t="s">
        <v>243</v>
      </c>
      <c r="R187" s="53" t="s">
        <v>2</v>
      </c>
    </row>
    <row r="188" spans="8:18" x14ac:dyDescent="0.25">
      <c r="H188" s="53" t="s">
        <v>244</v>
      </c>
      <c r="I188" s="36" t="s">
        <v>124</v>
      </c>
      <c r="J188" s="33"/>
      <c r="K188" s="37" t="s">
        <v>125</v>
      </c>
      <c r="N188" s="53" t="s">
        <v>244</v>
      </c>
      <c r="O188" s="38" t="s">
        <v>125</v>
      </c>
      <c r="Q188" s="53" t="s">
        <v>244</v>
      </c>
      <c r="R188" s="53" t="s">
        <v>2</v>
      </c>
    </row>
    <row r="189" spans="8:18" x14ac:dyDescent="0.25">
      <c r="H189" s="53" t="s">
        <v>245</v>
      </c>
      <c r="I189" s="36" t="s">
        <v>124</v>
      </c>
      <c r="J189" s="33"/>
      <c r="K189" s="37" t="s">
        <v>125</v>
      </c>
      <c r="N189" s="53" t="s">
        <v>245</v>
      </c>
      <c r="O189" s="38" t="s">
        <v>125</v>
      </c>
      <c r="Q189" s="53" t="s">
        <v>245</v>
      </c>
      <c r="R189" s="53" t="s">
        <v>2</v>
      </c>
    </row>
    <row r="190" spans="8:18" x14ac:dyDescent="0.25">
      <c r="H190" s="53" t="s">
        <v>250</v>
      </c>
      <c r="I190" s="36" t="s">
        <v>124</v>
      </c>
      <c r="J190" s="33"/>
      <c r="K190" s="37" t="s">
        <v>125</v>
      </c>
      <c r="N190" s="53" t="s">
        <v>250</v>
      </c>
      <c r="O190" s="38" t="s">
        <v>125</v>
      </c>
      <c r="Q190" s="53" t="s">
        <v>250</v>
      </c>
      <c r="R190" s="53" t="s">
        <v>2</v>
      </c>
    </row>
    <row r="191" spans="8:18" x14ac:dyDescent="0.25">
      <c r="H191" s="53" t="s">
        <v>64</v>
      </c>
      <c r="I191" s="36" t="s">
        <v>124</v>
      </c>
      <c r="J191" s="33"/>
      <c r="K191" s="37" t="s">
        <v>125</v>
      </c>
      <c r="N191" s="53" t="s">
        <v>64</v>
      </c>
      <c r="O191" s="38" t="s">
        <v>125</v>
      </c>
      <c r="Q191" s="53" t="s">
        <v>64</v>
      </c>
      <c r="R191" s="53" t="s">
        <v>2</v>
      </c>
    </row>
    <row r="192" spans="8:18" x14ac:dyDescent="0.25">
      <c r="H192" s="53" t="s">
        <v>251</v>
      </c>
      <c r="I192" s="36" t="s">
        <v>124</v>
      </c>
      <c r="J192" s="33"/>
      <c r="K192" s="37" t="s">
        <v>125</v>
      </c>
      <c r="N192" s="53" t="s">
        <v>251</v>
      </c>
      <c r="O192" s="38" t="s">
        <v>125</v>
      </c>
      <c r="Q192" s="53" t="s">
        <v>251</v>
      </c>
      <c r="R192" s="53" t="s">
        <v>2</v>
      </c>
    </row>
    <row r="193" spans="8:18" x14ac:dyDescent="0.25">
      <c r="H193" s="53" t="s">
        <v>253</v>
      </c>
      <c r="I193" s="36" t="s">
        <v>124</v>
      </c>
      <c r="J193" s="33"/>
      <c r="K193" s="37" t="s">
        <v>125</v>
      </c>
      <c r="N193" s="53" t="s">
        <v>253</v>
      </c>
      <c r="O193" s="38" t="s">
        <v>125</v>
      </c>
      <c r="Q193" s="53" t="s">
        <v>253</v>
      </c>
      <c r="R193" s="53" t="s">
        <v>2</v>
      </c>
    </row>
    <row r="194" spans="8:18" x14ac:dyDescent="0.25">
      <c r="H194" s="53" t="s">
        <v>254</v>
      </c>
      <c r="I194" s="36" t="s">
        <v>124</v>
      </c>
      <c r="J194" s="33"/>
      <c r="K194" s="37" t="s">
        <v>125</v>
      </c>
      <c r="N194" s="53" t="s">
        <v>254</v>
      </c>
      <c r="O194" s="38" t="s">
        <v>125</v>
      </c>
      <c r="Q194" s="53" t="s">
        <v>254</v>
      </c>
      <c r="R194" s="53" t="s">
        <v>2</v>
      </c>
    </row>
    <row r="195" spans="8:18" x14ac:dyDescent="0.25">
      <c r="H195" s="53" t="s">
        <v>127</v>
      </c>
      <c r="I195" s="36" t="s">
        <v>124</v>
      </c>
      <c r="J195" s="33"/>
      <c r="K195" s="37" t="s">
        <v>125</v>
      </c>
      <c r="N195" s="53" t="s">
        <v>127</v>
      </c>
      <c r="O195" s="38" t="s">
        <v>125</v>
      </c>
      <c r="Q195" s="53" t="s">
        <v>127</v>
      </c>
      <c r="R195" s="53" t="s">
        <v>2</v>
      </c>
    </row>
    <row r="196" spans="8:18" x14ac:dyDescent="0.25">
      <c r="H196" s="53" t="s">
        <v>257</v>
      </c>
      <c r="I196" s="36" t="s">
        <v>124</v>
      </c>
      <c r="J196" s="33"/>
      <c r="K196" s="37" t="s">
        <v>125</v>
      </c>
      <c r="N196" s="53" t="s">
        <v>257</v>
      </c>
      <c r="O196" s="38" t="s">
        <v>125</v>
      </c>
      <c r="Q196" s="53" t="s">
        <v>257</v>
      </c>
      <c r="R196" s="53" t="s">
        <v>2</v>
      </c>
    </row>
    <row r="197" spans="8:18" x14ac:dyDescent="0.25">
      <c r="H197" s="53" t="s">
        <v>260</v>
      </c>
      <c r="I197" s="36" t="s">
        <v>124</v>
      </c>
      <c r="J197" s="33"/>
      <c r="K197" s="37" t="s">
        <v>125</v>
      </c>
      <c r="N197" s="53" t="s">
        <v>260</v>
      </c>
      <c r="O197" s="38" t="s">
        <v>125</v>
      </c>
      <c r="Q197" s="53" t="s">
        <v>260</v>
      </c>
      <c r="R197" s="53" t="s">
        <v>2</v>
      </c>
    </row>
    <row r="198" spans="8:18" x14ac:dyDescent="0.25">
      <c r="H198" s="53" t="s">
        <v>126</v>
      </c>
      <c r="I198" s="36" t="s">
        <v>124</v>
      </c>
      <c r="J198" s="33"/>
      <c r="K198" s="37" t="s">
        <v>125</v>
      </c>
      <c r="N198" s="53" t="s">
        <v>126</v>
      </c>
      <c r="O198" s="38" t="s">
        <v>125</v>
      </c>
      <c r="Q198" s="53" t="s">
        <v>126</v>
      </c>
      <c r="R198" s="53" t="s">
        <v>2</v>
      </c>
    </row>
    <row r="199" spans="8:18" x14ac:dyDescent="0.25">
      <c r="H199" s="53" t="s">
        <v>261</v>
      </c>
      <c r="I199" s="36" t="s">
        <v>124</v>
      </c>
      <c r="J199" s="33"/>
      <c r="K199" s="37" t="s">
        <v>125</v>
      </c>
      <c r="N199" s="53" t="s">
        <v>261</v>
      </c>
      <c r="O199" s="38" t="s">
        <v>125</v>
      </c>
      <c r="Q199" s="53" t="s">
        <v>261</v>
      </c>
      <c r="R199" s="53" t="s">
        <v>2</v>
      </c>
    </row>
    <row r="200" spans="8:18" x14ac:dyDescent="0.25">
      <c r="H200" s="53" t="s">
        <v>262</v>
      </c>
      <c r="I200" s="36" t="s">
        <v>124</v>
      </c>
      <c r="J200" s="33"/>
      <c r="K200" s="37" t="s">
        <v>125</v>
      </c>
      <c r="N200" s="53" t="s">
        <v>262</v>
      </c>
      <c r="O200" s="38" t="s">
        <v>125</v>
      </c>
      <c r="Q200" s="53" t="s">
        <v>262</v>
      </c>
      <c r="R200" s="53" t="s">
        <v>2</v>
      </c>
    </row>
    <row r="201" spans="8:18" x14ac:dyDescent="0.25">
      <c r="H201" s="53" t="s">
        <v>263</v>
      </c>
      <c r="I201" s="36" t="s">
        <v>124</v>
      </c>
      <c r="J201" s="33"/>
      <c r="K201" s="37" t="s">
        <v>125</v>
      </c>
      <c r="N201" s="53" t="s">
        <v>263</v>
      </c>
      <c r="O201" s="38" t="s">
        <v>125</v>
      </c>
      <c r="Q201" s="53" t="s">
        <v>263</v>
      </c>
      <c r="R201" s="53" t="s">
        <v>2</v>
      </c>
    </row>
    <row r="202" spans="8:18" x14ac:dyDescent="0.25">
      <c r="H202" s="53" t="s">
        <v>69</v>
      </c>
      <c r="I202" s="36" t="s">
        <v>124</v>
      </c>
      <c r="J202" s="33"/>
      <c r="K202" s="37" t="s">
        <v>125</v>
      </c>
      <c r="N202" s="53" t="s">
        <v>69</v>
      </c>
      <c r="O202" s="38" t="s">
        <v>125</v>
      </c>
      <c r="Q202" s="53" t="s">
        <v>69</v>
      </c>
      <c r="R202" s="53" t="s">
        <v>2</v>
      </c>
    </row>
    <row r="203" spans="8:18" x14ac:dyDescent="0.25">
      <c r="H203" s="53" t="s">
        <v>264</v>
      </c>
      <c r="I203" s="36" t="s">
        <v>124</v>
      </c>
      <c r="J203" s="33"/>
      <c r="K203" s="37" t="s">
        <v>125</v>
      </c>
      <c r="N203" s="53" t="s">
        <v>264</v>
      </c>
      <c r="O203" s="38" t="s">
        <v>125</v>
      </c>
      <c r="Q203" s="53" t="s">
        <v>264</v>
      </c>
      <c r="R203" s="53" t="s">
        <v>2</v>
      </c>
    </row>
    <row r="204" spans="8:18" x14ac:dyDescent="0.25">
      <c r="H204" s="53" t="s">
        <v>266</v>
      </c>
      <c r="I204" s="36" t="s">
        <v>124</v>
      </c>
      <c r="J204" s="33"/>
      <c r="K204" s="37" t="s">
        <v>125</v>
      </c>
      <c r="N204" s="53" t="s">
        <v>266</v>
      </c>
      <c r="O204" s="38" t="s">
        <v>125</v>
      </c>
      <c r="Q204" s="53" t="s">
        <v>266</v>
      </c>
      <c r="R204" s="53" t="s">
        <v>2</v>
      </c>
    </row>
    <row r="205" spans="8:18" x14ac:dyDescent="0.25">
      <c r="H205" s="53" t="s">
        <v>269</v>
      </c>
      <c r="I205" s="36" t="s">
        <v>124</v>
      </c>
      <c r="J205" s="33"/>
      <c r="K205" s="37" t="s">
        <v>125</v>
      </c>
      <c r="N205" s="53" t="s">
        <v>269</v>
      </c>
      <c r="O205" s="38" t="s">
        <v>125</v>
      </c>
      <c r="Q205" s="53" t="s">
        <v>269</v>
      </c>
      <c r="R205" s="53" t="s">
        <v>2</v>
      </c>
    </row>
    <row r="206" spans="8:18" x14ac:dyDescent="0.25">
      <c r="H206" s="53" t="s">
        <v>270</v>
      </c>
      <c r="I206" s="36" t="s">
        <v>124</v>
      </c>
      <c r="J206" s="33"/>
      <c r="K206" s="37" t="s">
        <v>125</v>
      </c>
      <c r="N206" s="53" t="s">
        <v>270</v>
      </c>
      <c r="O206" s="38" t="s">
        <v>125</v>
      </c>
      <c r="Q206" s="53" t="s">
        <v>270</v>
      </c>
      <c r="R206" s="53" t="s">
        <v>2</v>
      </c>
    </row>
    <row r="207" spans="8:18" x14ac:dyDescent="0.25">
      <c r="H207" s="53" t="s">
        <v>271</v>
      </c>
      <c r="I207" s="36" t="s">
        <v>124</v>
      </c>
      <c r="J207" s="33"/>
      <c r="K207" s="37" t="s">
        <v>125</v>
      </c>
      <c r="N207" s="53" t="s">
        <v>271</v>
      </c>
      <c r="O207" s="38" t="s">
        <v>125</v>
      </c>
      <c r="Q207" s="53" t="s">
        <v>271</v>
      </c>
      <c r="R207" s="53" t="s">
        <v>2</v>
      </c>
    </row>
    <row r="208" spans="8:18" x14ac:dyDescent="0.25">
      <c r="H208" s="53" t="s">
        <v>273</v>
      </c>
      <c r="I208" s="36" t="s">
        <v>124</v>
      </c>
      <c r="J208" s="33"/>
      <c r="K208" s="37" t="s">
        <v>125</v>
      </c>
      <c r="N208" s="53" t="s">
        <v>273</v>
      </c>
      <c r="O208" s="38" t="s">
        <v>125</v>
      </c>
      <c r="Q208" s="53" t="s">
        <v>273</v>
      </c>
      <c r="R208" s="53" t="s">
        <v>2</v>
      </c>
    </row>
    <row r="209" spans="8:18" x14ac:dyDescent="0.25">
      <c r="H209" s="53" t="s">
        <v>274</v>
      </c>
      <c r="I209" s="36" t="s">
        <v>124</v>
      </c>
      <c r="J209" s="33"/>
      <c r="K209" s="37" t="s">
        <v>125</v>
      </c>
      <c r="N209" s="53" t="s">
        <v>274</v>
      </c>
      <c r="O209" s="38" t="s">
        <v>125</v>
      </c>
      <c r="Q209" s="53" t="s">
        <v>274</v>
      </c>
      <c r="R209" s="53" t="s">
        <v>2</v>
      </c>
    </row>
    <row r="210" spans="8:18" x14ac:dyDescent="0.25">
      <c r="H210" s="53" t="s">
        <v>275</v>
      </c>
      <c r="I210" s="36" t="s">
        <v>124</v>
      </c>
      <c r="J210" s="33"/>
      <c r="K210" s="37" t="s">
        <v>125</v>
      </c>
      <c r="N210" s="53" t="s">
        <v>275</v>
      </c>
      <c r="O210" s="38" t="s">
        <v>125</v>
      </c>
      <c r="Q210" s="53" t="s">
        <v>275</v>
      </c>
      <c r="R210" s="53" t="s">
        <v>2</v>
      </c>
    </row>
    <row r="211" spans="8:18" x14ac:dyDescent="0.25">
      <c r="H211" s="53" t="s">
        <v>276</v>
      </c>
      <c r="I211" s="36" t="s">
        <v>124</v>
      </c>
      <c r="J211" s="33"/>
      <c r="K211" s="37" t="s">
        <v>125</v>
      </c>
      <c r="N211" s="53" t="s">
        <v>276</v>
      </c>
      <c r="O211" s="38" t="s">
        <v>125</v>
      </c>
      <c r="Q211" s="53" t="s">
        <v>276</v>
      </c>
      <c r="R211" s="53" t="s">
        <v>2</v>
      </c>
    </row>
    <row r="212" spans="8:18" x14ac:dyDescent="0.25">
      <c r="H212" s="53" t="s">
        <v>277</v>
      </c>
      <c r="I212" s="36" t="s">
        <v>124</v>
      </c>
      <c r="J212" s="33"/>
      <c r="K212" s="37" t="s">
        <v>125</v>
      </c>
      <c r="N212" s="53" t="s">
        <v>277</v>
      </c>
      <c r="O212" s="38" t="s">
        <v>125</v>
      </c>
      <c r="Q212" s="53" t="s">
        <v>277</v>
      </c>
      <c r="R212" s="53" t="s">
        <v>2</v>
      </c>
    </row>
    <row r="213" spans="8:18" x14ac:dyDescent="0.25">
      <c r="H213" s="53" t="s">
        <v>281</v>
      </c>
      <c r="I213" s="36" t="s">
        <v>124</v>
      </c>
      <c r="J213" s="33"/>
      <c r="K213" s="37" t="s">
        <v>125</v>
      </c>
      <c r="N213" s="53" t="s">
        <v>281</v>
      </c>
      <c r="O213" s="38" t="s">
        <v>125</v>
      </c>
      <c r="Q213" s="53" t="s">
        <v>281</v>
      </c>
      <c r="R213" s="53" t="s">
        <v>2</v>
      </c>
    </row>
    <row r="214" spans="8:18" x14ac:dyDescent="0.25">
      <c r="H214" s="53" t="s">
        <v>282</v>
      </c>
      <c r="I214" s="36" t="s">
        <v>124</v>
      </c>
      <c r="J214" s="33"/>
      <c r="K214" s="37" t="s">
        <v>125</v>
      </c>
      <c r="N214" s="53" t="s">
        <v>282</v>
      </c>
      <c r="O214" s="38" t="s">
        <v>125</v>
      </c>
      <c r="Q214" s="53" t="s">
        <v>282</v>
      </c>
      <c r="R214" s="53" t="s">
        <v>2</v>
      </c>
    </row>
    <row r="215" spans="8:18" x14ac:dyDescent="0.25">
      <c r="H215" s="53" t="s">
        <v>283</v>
      </c>
      <c r="I215" s="36" t="s">
        <v>124</v>
      </c>
      <c r="J215" s="33"/>
      <c r="K215" s="37" t="s">
        <v>125</v>
      </c>
      <c r="N215" s="53" t="s">
        <v>283</v>
      </c>
      <c r="O215" s="38" t="s">
        <v>125</v>
      </c>
      <c r="Q215" s="53" t="s">
        <v>283</v>
      </c>
      <c r="R215" s="53" t="s">
        <v>2</v>
      </c>
    </row>
    <row r="216" spans="8:18" x14ac:dyDescent="0.25">
      <c r="H216" s="53" t="s">
        <v>284</v>
      </c>
      <c r="I216" s="36" t="s">
        <v>124</v>
      </c>
      <c r="J216" s="33"/>
      <c r="K216" s="37" t="s">
        <v>125</v>
      </c>
      <c r="N216" s="53" t="s">
        <v>284</v>
      </c>
      <c r="O216" s="38" t="s">
        <v>125</v>
      </c>
      <c r="Q216" s="53" t="s">
        <v>284</v>
      </c>
      <c r="R216" s="53" t="s">
        <v>2</v>
      </c>
    </row>
    <row r="217" spans="8:18" x14ac:dyDescent="0.25">
      <c r="H217" s="53" t="s">
        <v>285</v>
      </c>
      <c r="I217" s="36" t="s">
        <v>124</v>
      </c>
      <c r="J217" s="33"/>
      <c r="K217" s="37" t="s">
        <v>125</v>
      </c>
      <c r="N217" s="53" t="s">
        <v>285</v>
      </c>
      <c r="O217" s="38" t="s">
        <v>125</v>
      </c>
      <c r="Q217" s="53" t="s">
        <v>285</v>
      </c>
      <c r="R217" s="53" t="s">
        <v>2</v>
      </c>
    </row>
    <row r="218" spans="8:18" x14ac:dyDescent="0.25">
      <c r="H218" s="53" t="s">
        <v>286</v>
      </c>
      <c r="I218" s="36" t="s">
        <v>124</v>
      </c>
      <c r="J218" s="33"/>
      <c r="K218" s="37" t="s">
        <v>125</v>
      </c>
      <c r="N218" s="53" t="s">
        <v>286</v>
      </c>
      <c r="O218" s="38" t="s">
        <v>125</v>
      </c>
      <c r="Q218" s="53" t="s">
        <v>286</v>
      </c>
      <c r="R218" s="53" t="s">
        <v>2</v>
      </c>
    </row>
    <row r="219" spans="8:18" x14ac:dyDescent="0.25">
      <c r="H219" s="53" t="s">
        <v>287</v>
      </c>
      <c r="I219" s="36" t="s">
        <v>124</v>
      </c>
      <c r="J219" s="33"/>
      <c r="K219" s="37" t="s">
        <v>125</v>
      </c>
      <c r="N219" s="53" t="s">
        <v>287</v>
      </c>
      <c r="O219" s="38" t="s">
        <v>125</v>
      </c>
      <c r="Q219" s="53" t="s">
        <v>287</v>
      </c>
      <c r="R219" s="53" t="s">
        <v>2</v>
      </c>
    </row>
    <row r="220" spans="8:18" x14ac:dyDescent="0.25">
      <c r="H220" s="53" t="s">
        <v>288</v>
      </c>
      <c r="I220" s="36" t="s">
        <v>124</v>
      </c>
      <c r="J220" s="33"/>
      <c r="K220" s="37" t="s">
        <v>125</v>
      </c>
      <c r="N220" s="53" t="s">
        <v>288</v>
      </c>
      <c r="O220" s="38" t="s">
        <v>125</v>
      </c>
      <c r="Q220" s="53" t="s">
        <v>288</v>
      </c>
      <c r="R220" s="53" t="s">
        <v>2</v>
      </c>
    </row>
    <row r="221" spans="8:18" x14ac:dyDescent="0.25">
      <c r="H221" s="53" t="s">
        <v>289</v>
      </c>
      <c r="I221" s="36" t="s">
        <v>124</v>
      </c>
      <c r="J221" s="33"/>
      <c r="K221" s="37" t="s">
        <v>125</v>
      </c>
      <c r="N221" s="53" t="s">
        <v>289</v>
      </c>
      <c r="O221" s="38" t="s">
        <v>125</v>
      </c>
      <c r="Q221" s="53" t="s">
        <v>289</v>
      </c>
      <c r="R221" s="53" t="s">
        <v>2</v>
      </c>
    </row>
    <row r="222" spans="8:18" x14ac:dyDescent="0.25">
      <c r="H222" s="53" t="s">
        <v>290</v>
      </c>
      <c r="I222" s="36" t="s">
        <v>124</v>
      </c>
      <c r="J222" s="33"/>
      <c r="K222" s="37" t="s">
        <v>125</v>
      </c>
      <c r="N222" s="53" t="s">
        <v>290</v>
      </c>
      <c r="O222" s="38" t="s">
        <v>125</v>
      </c>
      <c r="Q222" s="53" t="s">
        <v>290</v>
      </c>
      <c r="R222" s="53" t="s">
        <v>2</v>
      </c>
    </row>
    <row r="223" spans="8:18" x14ac:dyDescent="0.25">
      <c r="H223" s="53" t="s">
        <v>291</v>
      </c>
      <c r="I223" s="36" t="s">
        <v>124</v>
      </c>
      <c r="J223" s="33"/>
      <c r="K223" s="37" t="s">
        <v>125</v>
      </c>
      <c r="N223" s="53" t="s">
        <v>291</v>
      </c>
      <c r="O223" s="38" t="s">
        <v>125</v>
      </c>
      <c r="Q223" s="53" t="s">
        <v>291</v>
      </c>
      <c r="R223" s="53" t="s">
        <v>2</v>
      </c>
    </row>
    <row r="224" spans="8:18" x14ac:dyDescent="0.25">
      <c r="H224" s="53" t="s">
        <v>293</v>
      </c>
      <c r="I224" s="36" t="s">
        <v>124</v>
      </c>
      <c r="J224" s="33"/>
      <c r="K224" s="37" t="s">
        <v>125</v>
      </c>
      <c r="N224" s="53" t="s">
        <v>293</v>
      </c>
      <c r="O224" s="38" t="s">
        <v>125</v>
      </c>
      <c r="Q224" s="53" t="s">
        <v>293</v>
      </c>
      <c r="R224" s="53" t="s">
        <v>2</v>
      </c>
    </row>
    <row r="225" spans="8:18" x14ac:dyDescent="0.25">
      <c r="H225" s="53" t="s">
        <v>294</v>
      </c>
      <c r="I225" s="36" t="s">
        <v>124</v>
      </c>
      <c r="J225" s="33"/>
      <c r="K225" s="37" t="s">
        <v>125</v>
      </c>
      <c r="N225" s="53" t="s">
        <v>294</v>
      </c>
      <c r="O225" s="38" t="s">
        <v>125</v>
      </c>
      <c r="Q225" s="53" t="s">
        <v>294</v>
      </c>
      <c r="R225" s="53" t="s">
        <v>2</v>
      </c>
    </row>
    <row r="226" spans="8:18" x14ac:dyDescent="0.25">
      <c r="H226" s="53" t="s">
        <v>295</v>
      </c>
      <c r="I226" s="36" t="s">
        <v>124</v>
      </c>
      <c r="J226" s="33"/>
      <c r="K226" s="37" t="s">
        <v>125</v>
      </c>
      <c r="N226" s="53" t="s">
        <v>295</v>
      </c>
      <c r="O226" s="38" t="s">
        <v>125</v>
      </c>
      <c r="Q226" s="53" t="s">
        <v>295</v>
      </c>
      <c r="R226" s="53" t="s">
        <v>2</v>
      </c>
    </row>
    <row r="227" spans="8:18" x14ac:dyDescent="0.25">
      <c r="H227" s="53" t="s">
        <v>298</v>
      </c>
      <c r="I227" s="36" t="s">
        <v>124</v>
      </c>
      <c r="J227" s="33"/>
      <c r="K227" s="37" t="s">
        <v>125</v>
      </c>
      <c r="N227" s="53" t="s">
        <v>298</v>
      </c>
      <c r="O227" s="38" t="s">
        <v>125</v>
      </c>
      <c r="Q227" s="53" t="s">
        <v>298</v>
      </c>
      <c r="R227" s="53" t="s">
        <v>2</v>
      </c>
    </row>
    <row r="228" spans="8:18" x14ac:dyDescent="0.25">
      <c r="H228" s="53" t="s">
        <v>299</v>
      </c>
      <c r="I228" s="36" t="s">
        <v>124</v>
      </c>
      <c r="J228" s="33"/>
      <c r="K228" s="37" t="s">
        <v>125</v>
      </c>
      <c r="N228" s="53" t="s">
        <v>299</v>
      </c>
      <c r="O228" s="38" t="s">
        <v>125</v>
      </c>
      <c r="Q228" s="53" t="s">
        <v>299</v>
      </c>
      <c r="R228" s="53" t="s">
        <v>2</v>
      </c>
    </row>
    <row r="229" spans="8:18" x14ac:dyDescent="0.25">
      <c r="H229" s="53" t="s">
        <v>303</v>
      </c>
      <c r="I229" s="36" t="s">
        <v>124</v>
      </c>
      <c r="J229" s="33"/>
      <c r="K229" s="37" t="s">
        <v>125</v>
      </c>
      <c r="N229" s="53" t="s">
        <v>303</v>
      </c>
      <c r="O229" s="38" t="s">
        <v>125</v>
      </c>
      <c r="Q229" s="53" t="s">
        <v>303</v>
      </c>
      <c r="R229" s="53" t="s">
        <v>2</v>
      </c>
    </row>
    <row r="230" spans="8:18" x14ac:dyDescent="0.25">
      <c r="H230" s="53" t="s">
        <v>304</v>
      </c>
      <c r="I230" s="36" t="s">
        <v>124</v>
      </c>
      <c r="J230" s="33"/>
      <c r="K230" s="37" t="s">
        <v>125</v>
      </c>
      <c r="N230" s="53" t="s">
        <v>304</v>
      </c>
      <c r="O230" s="38" t="s">
        <v>125</v>
      </c>
      <c r="Q230" s="53" t="s">
        <v>304</v>
      </c>
      <c r="R230" s="53" t="s">
        <v>2</v>
      </c>
    </row>
    <row r="231" spans="8:18" x14ac:dyDescent="0.25">
      <c r="H231" s="53" t="s">
        <v>147</v>
      </c>
      <c r="I231" s="36" t="s">
        <v>124</v>
      </c>
      <c r="J231" s="33"/>
      <c r="K231" s="37" t="s">
        <v>125</v>
      </c>
      <c r="N231" s="53" t="s">
        <v>147</v>
      </c>
      <c r="O231" s="38" t="s">
        <v>125</v>
      </c>
      <c r="Q231" s="53" t="s">
        <v>147</v>
      </c>
      <c r="R231" s="53" t="s">
        <v>2</v>
      </c>
    </row>
    <row r="232" spans="8:18" x14ac:dyDescent="0.25">
      <c r="H232" s="53" t="s">
        <v>307</v>
      </c>
      <c r="I232" s="36" t="s">
        <v>124</v>
      </c>
      <c r="J232" s="33"/>
      <c r="K232" s="37" t="s">
        <v>125</v>
      </c>
      <c r="N232" s="53" t="s">
        <v>307</v>
      </c>
      <c r="O232" s="38" t="s">
        <v>125</v>
      </c>
      <c r="Q232" s="53" t="s">
        <v>307</v>
      </c>
      <c r="R232" s="53" t="s">
        <v>2</v>
      </c>
    </row>
    <row r="233" spans="8:18" x14ac:dyDescent="0.25">
      <c r="H233" s="53" t="s">
        <v>309</v>
      </c>
      <c r="I233" s="36" t="s">
        <v>124</v>
      </c>
      <c r="J233" s="33"/>
      <c r="K233" s="37" t="s">
        <v>125</v>
      </c>
      <c r="N233" s="53" t="s">
        <v>309</v>
      </c>
      <c r="O233" s="38" t="s">
        <v>125</v>
      </c>
      <c r="Q233" s="53" t="s">
        <v>309</v>
      </c>
      <c r="R233" s="53" t="s">
        <v>2</v>
      </c>
    </row>
    <row r="234" spans="8:18" x14ac:dyDescent="0.25">
      <c r="H234" s="53" t="s">
        <v>108</v>
      </c>
      <c r="I234" s="36" t="s">
        <v>124</v>
      </c>
      <c r="J234" s="33"/>
      <c r="K234" s="37" t="s">
        <v>125</v>
      </c>
      <c r="N234" s="53" t="s">
        <v>108</v>
      </c>
      <c r="O234" s="38" t="s">
        <v>125</v>
      </c>
      <c r="Q234" s="53" t="s">
        <v>108</v>
      </c>
      <c r="R234" s="53" t="s">
        <v>2</v>
      </c>
    </row>
    <row r="235" spans="8:18" x14ac:dyDescent="0.25">
      <c r="H235" s="53" t="s">
        <v>312</v>
      </c>
      <c r="I235" s="36" t="s">
        <v>124</v>
      </c>
      <c r="J235" s="33"/>
      <c r="K235" s="37" t="s">
        <v>125</v>
      </c>
      <c r="N235" s="53" t="s">
        <v>312</v>
      </c>
      <c r="O235" s="38" t="s">
        <v>125</v>
      </c>
      <c r="Q235" s="53" t="s">
        <v>312</v>
      </c>
      <c r="R235" s="53" t="s">
        <v>2</v>
      </c>
    </row>
    <row r="236" spans="8:18" x14ac:dyDescent="0.25">
      <c r="H236" s="53" t="s">
        <v>313</v>
      </c>
      <c r="I236" s="36" t="s">
        <v>124</v>
      </c>
      <c r="J236" s="33"/>
      <c r="K236" s="37" t="s">
        <v>125</v>
      </c>
      <c r="N236" s="53" t="s">
        <v>313</v>
      </c>
      <c r="O236" s="38" t="s">
        <v>125</v>
      </c>
      <c r="Q236" s="53" t="s">
        <v>313</v>
      </c>
      <c r="R236" s="53" t="s">
        <v>2</v>
      </c>
    </row>
    <row r="237" spans="8:18" x14ac:dyDescent="0.25">
      <c r="H237" s="53" t="s">
        <v>314</v>
      </c>
      <c r="I237" s="36" t="s">
        <v>124</v>
      </c>
      <c r="J237" s="33"/>
      <c r="K237" s="37" t="s">
        <v>125</v>
      </c>
      <c r="N237" s="53" t="s">
        <v>314</v>
      </c>
      <c r="O237" s="38" t="s">
        <v>125</v>
      </c>
      <c r="Q237" s="53" t="s">
        <v>314</v>
      </c>
      <c r="R237" s="53" t="s">
        <v>2</v>
      </c>
    </row>
    <row r="238" spans="8:18" x14ac:dyDescent="0.25">
      <c r="H238" s="53" t="s">
        <v>315</v>
      </c>
      <c r="I238" s="36" t="s">
        <v>124</v>
      </c>
      <c r="J238" s="33"/>
      <c r="K238" s="37" t="s">
        <v>125</v>
      </c>
      <c r="N238" s="53" t="s">
        <v>315</v>
      </c>
      <c r="O238" s="38" t="s">
        <v>125</v>
      </c>
      <c r="Q238" s="53" t="s">
        <v>315</v>
      </c>
      <c r="R238" s="53" t="s">
        <v>2</v>
      </c>
    </row>
    <row r="239" spans="8:18" x14ac:dyDescent="0.25">
      <c r="H239" s="53" t="s">
        <v>106</v>
      </c>
      <c r="I239" s="36" t="s">
        <v>124</v>
      </c>
      <c r="J239" s="33"/>
      <c r="K239" s="37" t="s">
        <v>125</v>
      </c>
      <c r="N239" s="53" t="s">
        <v>106</v>
      </c>
      <c r="O239" s="38" t="s">
        <v>125</v>
      </c>
      <c r="Q239" s="53" t="s">
        <v>106</v>
      </c>
      <c r="R239" s="53" t="s">
        <v>2</v>
      </c>
    </row>
    <row r="240" spans="8:18" x14ac:dyDescent="0.25">
      <c r="H240" s="53" t="s">
        <v>317</v>
      </c>
      <c r="I240" s="36" t="s">
        <v>124</v>
      </c>
      <c r="J240" s="33"/>
      <c r="K240" s="37" t="s">
        <v>125</v>
      </c>
      <c r="N240" s="53" t="s">
        <v>317</v>
      </c>
      <c r="O240" s="38" t="s">
        <v>125</v>
      </c>
      <c r="Q240" s="53" t="s">
        <v>317</v>
      </c>
      <c r="R240" s="53" t="s">
        <v>2</v>
      </c>
    </row>
    <row r="241" spans="8:18" x14ac:dyDescent="0.25">
      <c r="H241" s="53" t="s">
        <v>318</v>
      </c>
      <c r="I241" s="36" t="s">
        <v>124</v>
      </c>
      <c r="J241" s="33"/>
      <c r="K241" s="37" t="s">
        <v>125</v>
      </c>
      <c r="N241" s="53" t="s">
        <v>318</v>
      </c>
      <c r="O241" s="38" t="s">
        <v>125</v>
      </c>
      <c r="Q241" s="53" t="s">
        <v>318</v>
      </c>
      <c r="R241" s="53" t="s">
        <v>2</v>
      </c>
    </row>
    <row r="242" spans="8:18" x14ac:dyDescent="0.25">
      <c r="H242" s="53" t="s">
        <v>118</v>
      </c>
      <c r="I242" s="36" t="s">
        <v>124</v>
      </c>
      <c r="J242" s="33"/>
      <c r="K242" s="37" t="s">
        <v>125</v>
      </c>
      <c r="N242" s="53" t="s">
        <v>118</v>
      </c>
      <c r="O242" s="38" t="s">
        <v>125</v>
      </c>
      <c r="Q242" s="53" t="s">
        <v>118</v>
      </c>
      <c r="R242" s="53" t="s">
        <v>2</v>
      </c>
    </row>
    <row r="243" spans="8:18" x14ac:dyDescent="0.25">
      <c r="H243" s="53" t="s">
        <v>320</v>
      </c>
      <c r="I243" s="36" t="s">
        <v>124</v>
      </c>
      <c r="J243" s="33"/>
      <c r="K243" s="37" t="s">
        <v>125</v>
      </c>
      <c r="N243" s="53" t="s">
        <v>320</v>
      </c>
      <c r="O243" s="38" t="s">
        <v>125</v>
      </c>
      <c r="Q243" s="53" t="s">
        <v>320</v>
      </c>
      <c r="R243" s="53" t="s">
        <v>2</v>
      </c>
    </row>
    <row r="244" spans="8:18" x14ac:dyDescent="0.25">
      <c r="H244" s="53" t="s">
        <v>323</v>
      </c>
      <c r="I244" s="36" t="s">
        <v>124</v>
      </c>
      <c r="J244" s="33"/>
      <c r="K244" s="37" t="s">
        <v>125</v>
      </c>
      <c r="N244" s="53" t="s">
        <v>323</v>
      </c>
      <c r="O244" s="38" t="s">
        <v>125</v>
      </c>
      <c r="Q244" s="53" t="s">
        <v>323</v>
      </c>
      <c r="R244" s="53" t="s">
        <v>2</v>
      </c>
    </row>
    <row r="245" spans="8:18" x14ac:dyDescent="0.25">
      <c r="H245" s="53" t="s">
        <v>326</v>
      </c>
      <c r="I245" s="36" t="s">
        <v>124</v>
      </c>
      <c r="J245" s="33"/>
      <c r="K245" s="37" t="s">
        <v>125</v>
      </c>
      <c r="N245" s="53" t="s">
        <v>326</v>
      </c>
      <c r="O245" s="38" t="s">
        <v>125</v>
      </c>
      <c r="Q245" s="53" t="s">
        <v>326</v>
      </c>
      <c r="R245" s="53" t="s">
        <v>2</v>
      </c>
    </row>
    <row r="246" spans="8:18" x14ac:dyDescent="0.25">
      <c r="H246" s="53" t="s">
        <v>327</v>
      </c>
      <c r="I246" s="36" t="s">
        <v>124</v>
      </c>
      <c r="J246" s="33"/>
      <c r="K246" s="37" t="s">
        <v>125</v>
      </c>
      <c r="N246" s="53" t="s">
        <v>327</v>
      </c>
      <c r="O246" s="38" t="s">
        <v>125</v>
      </c>
      <c r="Q246" s="53" t="s">
        <v>327</v>
      </c>
      <c r="R246" s="53" t="s">
        <v>2</v>
      </c>
    </row>
    <row r="247" spans="8:18" x14ac:dyDescent="0.25">
      <c r="H247" s="53" t="s">
        <v>329</v>
      </c>
      <c r="I247" s="36" t="s">
        <v>124</v>
      </c>
      <c r="J247" s="33"/>
      <c r="K247" s="37" t="s">
        <v>125</v>
      </c>
      <c r="N247" s="53" t="s">
        <v>329</v>
      </c>
      <c r="O247" s="38" t="s">
        <v>125</v>
      </c>
      <c r="Q247" s="53" t="s">
        <v>329</v>
      </c>
      <c r="R247" s="53" t="s">
        <v>2</v>
      </c>
    </row>
    <row r="248" spans="8:18" x14ac:dyDescent="0.25">
      <c r="H248" s="53" t="s">
        <v>330</v>
      </c>
      <c r="I248" s="36" t="s">
        <v>124</v>
      </c>
      <c r="J248" s="33"/>
      <c r="K248" s="37" t="s">
        <v>125</v>
      </c>
      <c r="N248" s="53" t="s">
        <v>330</v>
      </c>
      <c r="O248" s="38" t="s">
        <v>125</v>
      </c>
      <c r="Q248" s="53" t="s">
        <v>330</v>
      </c>
      <c r="R248" s="53" t="s">
        <v>2</v>
      </c>
    </row>
    <row r="249" spans="8:18" x14ac:dyDescent="0.25">
      <c r="H249" s="53" t="s">
        <v>336</v>
      </c>
      <c r="I249" s="36" t="s">
        <v>124</v>
      </c>
      <c r="J249" s="33"/>
      <c r="K249" s="37" t="s">
        <v>125</v>
      </c>
      <c r="N249" s="53" t="s">
        <v>336</v>
      </c>
      <c r="O249" s="38" t="s">
        <v>125</v>
      </c>
      <c r="Q249" s="53" t="s">
        <v>336</v>
      </c>
      <c r="R249" s="53" t="s">
        <v>2</v>
      </c>
    </row>
    <row r="250" spans="8:18" x14ac:dyDescent="0.25">
      <c r="H250" s="53" t="s">
        <v>338</v>
      </c>
      <c r="I250" s="36" t="s">
        <v>124</v>
      </c>
      <c r="J250" s="33"/>
      <c r="K250" s="37" t="s">
        <v>125</v>
      </c>
      <c r="N250" s="53" t="s">
        <v>338</v>
      </c>
      <c r="O250" s="38" t="s">
        <v>125</v>
      </c>
      <c r="Q250" s="53" t="s">
        <v>338</v>
      </c>
      <c r="R250" s="53" t="s">
        <v>2</v>
      </c>
    </row>
    <row r="251" spans="8:18" x14ac:dyDescent="0.25">
      <c r="H251" s="53" t="s">
        <v>339</v>
      </c>
      <c r="I251" s="36" t="s">
        <v>124</v>
      </c>
      <c r="J251" s="33"/>
      <c r="K251" s="37" t="s">
        <v>125</v>
      </c>
      <c r="N251" s="53" t="s">
        <v>339</v>
      </c>
      <c r="O251" s="38" t="s">
        <v>125</v>
      </c>
      <c r="Q251" s="53" t="s">
        <v>339</v>
      </c>
      <c r="R251" s="53" t="s">
        <v>2</v>
      </c>
    </row>
    <row r="252" spans="8:18" x14ac:dyDescent="0.25">
      <c r="H252" s="53" t="s">
        <v>341</v>
      </c>
      <c r="I252" s="36" t="s">
        <v>124</v>
      </c>
      <c r="J252" s="33"/>
      <c r="K252" s="37" t="s">
        <v>125</v>
      </c>
      <c r="N252" s="53" t="s">
        <v>341</v>
      </c>
      <c r="O252" s="38" t="s">
        <v>125</v>
      </c>
      <c r="Q252" s="53" t="s">
        <v>341</v>
      </c>
      <c r="R252" s="53" t="s">
        <v>2</v>
      </c>
    </row>
    <row r="253" spans="8:18" x14ac:dyDescent="0.25">
      <c r="H253" s="53" t="s">
        <v>342</v>
      </c>
      <c r="I253" s="36" t="s">
        <v>124</v>
      </c>
      <c r="J253" s="33"/>
      <c r="K253" s="37" t="s">
        <v>125</v>
      </c>
      <c r="N253" s="53" t="s">
        <v>342</v>
      </c>
      <c r="O253" s="38" t="s">
        <v>125</v>
      </c>
      <c r="Q253" s="53" t="s">
        <v>342</v>
      </c>
      <c r="R253" s="53" t="s">
        <v>2</v>
      </c>
    </row>
    <row r="254" spans="8:18" x14ac:dyDescent="0.25">
      <c r="H254" s="53" t="s">
        <v>344</v>
      </c>
      <c r="I254" s="36" t="s">
        <v>124</v>
      </c>
      <c r="J254" s="33"/>
      <c r="K254" s="37" t="s">
        <v>125</v>
      </c>
      <c r="N254" s="53" t="s">
        <v>344</v>
      </c>
      <c r="O254" s="38" t="s">
        <v>125</v>
      </c>
      <c r="Q254" s="53" t="s">
        <v>344</v>
      </c>
      <c r="R254" s="53" t="s">
        <v>2</v>
      </c>
    </row>
    <row r="255" spans="8:18" x14ac:dyDescent="0.25">
      <c r="H255" s="53" t="s">
        <v>345</v>
      </c>
      <c r="I255" s="36" t="s">
        <v>124</v>
      </c>
      <c r="J255" s="33"/>
      <c r="K255" s="37" t="s">
        <v>125</v>
      </c>
      <c r="N255" s="53" t="s">
        <v>345</v>
      </c>
      <c r="O255" s="38" t="s">
        <v>125</v>
      </c>
      <c r="Q255" s="53" t="s">
        <v>345</v>
      </c>
      <c r="R255" s="53" t="s">
        <v>2</v>
      </c>
    </row>
    <row r="256" spans="8:18" x14ac:dyDescent="0.25">
      <c r="H256" s="53" t="s">
        <v>348</v>
      </c>
      <c r="I256" s="36" t="s">
        <v>124</v>
      </c>
      <c r="J256" s="33"/>
      <c r="K256" s="37" t="s">
        <v>125</v>
      </c>
      <c r="N256" s="53" t="s">
        <v>348</v>
      </c>
      <c r="O256" s="38" t="s">
        <v>125</v>
      </c>
      <c r="Q256" s="53" t="s">
        <v>348</v>
      </c>
      <c r="R256" s="53" t="s">
        <v>2</v>
      </c>
    </row>
    <row r="257" spans="8:18" x14ac:dyDescent="0.25">
      <c r="H257" s="53" t="s">
        <v>350</v>
      </c>
      <c r="I257" s="36" t="s">
        <v>124</v>
      </c>
      <c r="J257" s="33"/>
      <c r="K257" s="37" t="s">
        <v>125</v>
      </c>
      <c r="N257" s="53" t="s">
        <v>350</v>
      </c>
      <c r="O257" s="38" t="s">
        <v>125</v>
      </c>
      <c r="Q257" s="53" t="s">
        <v>350</v>
      </c>
      <c r="R257" s="53" t="s">
        <v>2</v>
      </c>
    </row>
    <row r="258" spans="8:18" x14ac:dyDescent="0.25">
      <c r="H258" s="53" t="s">
        <v>351</v>
      </c>
      <c r="I258" s="36" t="s">
        <v>124</v>
      </c>
      <c r="J258" s="33"/>
      <c r="K258" s="37" t="s">
        <v>125</v>
      </c>
      <c r="N258" s="53" t="s">
        <v>351</v>
      </c>
      <c r="O258" s="38" t="s">
        <v>125</v>
      </c>
      <c r="Q258" s="53" t="s">
        <v>351</v>
      </c>
      <c r="R258" s="53" t="s">
        <v>2</v>
      </c>
    </row>
    <row r="259" spans="8:18" x14ac:dyDescent="0.25">
      <c r="H259" s="53" t="s">
        <v>352</v>
      </c>
      <c r="I259" s="36" t="s">
        <v>124</v>
      </c>
      <c r="J259" s="33"/>
      <c r="K259" s="37" t="s">
        <v>125</v>
      </c>
      <c r="N259" s="53" t="s">
        <v>352</v>
      </c>
      <c r="O259" s="38" t="s">
        <v>125</v>
      </c>
      <c r="Q259" s="53" t="s">
        <v>352</v>
      </c>
      <c r="R259" s="53" t="s">
        <v>2</v>
      </c>
    </row>
    <row r="260" spans="8:18" x14ac:dyDescent="0.25">
      <c r="H260" s="53" t="s">
        <v>353</v>
      </c>
      <c r="I260" s="36" t="s">
        <v>124</v>
      </c>
      <c r="J260" s="33"/>
      <c r="K260" s="37" t="s">
        <v>125</v>
      </c>
      <c r="N260" s="53" t="s">
        <v>353</v>
      </c>
      <c r="O260" s="38" t="s">
        <v>125</v>
      </c>
      <c r="Q260" s="53" t="s">
        <v>353</v>
      </c>
      <c r="R260" s="53" t="s">
        <v>2</v>
      </c>
    </row>
    <row r="261" spans="8:18" x14ac:dyDescent="0.25">
      <c r="H261" s="53" t="s">
        <v>354</v>
      </c>
      <c r="I261" s="36" t="s">
        <v>124</v>
      </c>
      <c r="J261" s="33"/>
      <c r="K261" s="37" t="s">
        <v>125</v>
      </c>
      <c r="N261" s="53" t="s">
        <v>354</v>
      </c>
      <c r="O261" s="38" t="s">
        <v>125</v>
      </c>
      <c r="Q261" s="53" t="s">
        <v>354</v>
      </c>
      <c r="R261" s="53" t="s">
        <v>2</v>
      </c>
    </row>
    <row r="262" spans="8:18" x14ac:dyDescent="0.25">
      <c r="H262" s="53" t="s">
        <v>357</v>
      </c>
      <c r="I262" s="36" t="s">
        <v>124</v>
      </c>
      <c r="J262" s="33"/>
      <c r="K262" s="37" t="s">
        <v>125</v>
      </c>
      <c r="N262" s="53" t="s">
        <v>357</v>
      </c>
      <c r="O262" s="38" t="s">
        <v>125</v>
      </c>
      <c r="Q262" s="53" t="s">
        <v>357</v>
      </c>
      <c r="R262" s="53" t="s">
        <v>2</v>
      </c>
    </row>
    <row r="263" spans="8:18" x14ac:dyDescent="0.25">
      <c r="H263" s="53" t="s">
        <v>359</v>
      </c>
      <c r="I263" s="36" t="s">
        <v>124</v>
      </c>
      <c r="J263" s="33"/>
      <c r="K263" s="37" t="s">
        <v>125</v>
      </c>
      <c r="N263" s="53" t="s">
        <v>359</v>
      </c>
      <c r="O263" s="38" t="s">
        <v>125</v>
      </c>
      <c r="Q263" s="53" t="s">
        <v>359</v>
      </c>
      <c r="R263" s="53" t="s">
        <v>2</v>
      </c>
    </row>
    <row r="264" spans="8:18" x14ac:dyDescent="0.25">
      <c r="H264" s="53" t="s">
        <v>361</v>
      </c>
      <c r="I264" s="36" t="s">
        <v>124</v>
      </c>
      <c r="J264" s="33"/>
      <c r="K264" s="37" t="s">
        <v>125</v>
      </c>
      <c r="N264" s="53" t="s">
        <v>361</v>
      </c>
      <c r="O264" s="38" t="s">
        <v>125</v>
      </c>
      <c r="Q264" s="53" t="s">
        <v>361</v>
      </c>
      <c r="R264" s="53" t="s">
        <v>2</v>
      </c>
    </row>
    <row r="265" spans="8:18" x14ac:dyDescent="0.25">
      <c r="H265" s="53" t="s">
        <v>362</v>
      </c>
      <c r="I265" s="36" t="s">
        <v>124</v>
      </c>
      <c r="J265" s="33"/>
      <c r="K265" s="37" t="s">
        <v>125</v>
      </c>
      <c r="N265" s="53" t="s">
        <v>362</v>
      </c>
      <c r="O265" s="38" t="s">
        <v>125</v>
      </c>
      <c r="Q265" s="53" t="s">
        <v>362</v>
      </c>
      <c r="R265" s="53" t="s">
        <v>2</v>
      </c>
    </row>
    <row r="266" spans="8:18" x14ac:dyDescent="0.25">
      <c r="H266" s="53" t="s">
        <v>363</v>
      </c>
      <c r="I266" s="36" t="s">
        <v>124</v>
      </c>
      <c r="J266" s="33"/>
      <c r="K266" s="37" t="s">
        <v>125</v>
      </c>
      <c r="N266" s="53" t="s">
        <v>363</v>
      </c>
      <c r="O266" s="38" t="s">
        <v>125</v>
      </c>
      <c r="Q266" s="53" t="s">
        <v>363</v>
      </c>
      <c r="R266" s="53" t="s">
        <v>2</v>
      </c>
    </row>
    <row r="267" spans="8:18" x14ac:dyDescent="0.25">
      <c r="H267" s="53" t="s">
        <v>364</v>
      </c>
      <c r="I267" s="36" t="s">
        <v>124</v>
      </c>
      <c r="J267" s="33"/>
      <c r="K267" s="37" t="s">
        <v>125</v>
      </c>
      <c r="N267" s="53" t="s">
        <v>364</v>
      </c>
      <c r="O267" s="38" t="s">
        <v>125</v>
      </c>
      <c r="Q267" s="53" t="s">
        <v>364</v>
      </c>
      <c r="R267" s="53" t="s">
        <v>2</v>
      </c>
    </row>
    <row r="268" spans="8:18" x14ac:dyDescent="0.25">
      <c r="H268" s="53" t="s">
        <v>365</v>
      </c>
      <c r="I268" s="36" t="s">
        <v>124</v>
      </c>
      <c r="J268" s="33"/>
      <c r="K268" s="37" t="s">
        <v>125</v>
      </c>
      <c r="N268" s="53" t="s">
        <v>365</v>
      </c>
      <c r="O268" s="38" t="s">
        <v>125</v>
      </c>
      <c r="Q268" s="53" t="s">
        <v>365</v>
      </c>
      <c r="R268" s="53" t="s">
        <v>2</v>
      </c>
    </row>
    <row r="269" spans="8:18" x14ac:dyDescent="0.25">
      <c r="H269" s="53" t="s">
        <v>368</v>
      </c>
      <c r="I269" s="36" t="s">
        <v>124</v>
      </c>
      <c r="J269" s="33"/>
      <c r="K269" s="37" t="s">
        <v>125</v>
      </c>
      <c r="N269" s="53" t="s">
        <v>368</v>
      </c>
      <c r="O269" s="38" t="s">
        <v>125</v>
      </c>
      <c r="Q269" s="53" t="s">
        <v>368</v>
      </c>
      <c r="R269" s="53" t="s">
        <v>2</v>
      </c>
    </row>
    <row r="270" spans="8:18" x14ac:dyDescent="0.25">
      <c r="H270" s="53" t="s">
        <v>369</v>
      </c>
      <c r="I270" s="36" t="s">
        <v>124</v>
      </c>
      <c r="J270" s="33"/>
      <c r="K270" s="37" t="s">
        <v>125</v>
      </c>
      <c r="N270" s="53" t="s">
        <v>369</v>
      </c>
      <c r="O270" s="38" t="s">
        <v>125</v>
      </c>
      <c r="Q270" s="53" t="s">
        <v>369</v>
      </c>
      <c r="R270" s="53" t="s">
        <v>2</v>
      </c>
    </row>
    <row r="271" spans="8:18" x14ac:dyDescent="0.25">
      <c r="H271" s="53" t="s">
        <v>372</v>
      </c>
      <c r="I271" s="36" t="s">
        <v>124</v>
      </c>
      <c r="J271" s="33"/>
      <c r="K271" s="37" t="s">
        <v>125</v>
      </c>
      <c r="N271" s="53" t="s">
        <v>372</v>
      </c>
      <c r="O271" s="38" t="s">
        <v>125</v>
      </c>
      <c r="Q271" s="53" t="s">
        <v>372</v>
      </c>
      <c r="R271" s="53" t="s">
        <v>2</v>
      </c>
    </row>
    <row r="272" spans="8:18" x14ac:dyDescent="0.25">
      <c r="H272" s="53" t="s">
        <v>374</v>
      </c>
      <c r="I272" s="36" t="s">
        <v>124</v>
      </c>
      <c r="J272" s="33"/>
      <c r="K272" s="37" t="s">
        <v>125</v>
      </c>
      <c r="N272" s="53" t="s">
        <v>374</v>
      </c>
      <c r="O272" s="38" t="s">
        <v>125</v>
      </c>
      <c r="Q272" s="53" t="s">
        <v>374</v>
      </c>
      <c r="R272" s="53" t="s">
        <v>2</v>
      </c>
    </row>
    <row r="273" spans="8:18" x14ac:dyDescent="0.25">
      <c r="H273" s="53" t="s">
        <v>375</v>
      </c>
      <c r="I273" s="36" t="s">
        <v>124</v>
      </c>
      <c r="J273" s="33"/>
      <c r="K273" s="37" t="s">
        <v>125</v>
      </c>
      <c r="N273" s="53" t="s">
        <v>375</v>
      </c>
      <c r="O273" s="38" t="s">
        <v>125</v>
      </c>
      <c r="Q273" s="53" t="s">
        <v>375</v>
      </c>
      <c r="R273" s="53" t="s">
        <v>2</v>
      </c>
    </row>
    <row r="274" spans="8:18" x14ac:dyDescent="0.25">
      <c r="H274" s="53" t="s">
        <v>65</v>
      </c>
      <c r="I274" s="36" t="s">
        <v>124</v>
      </c>
      <c r="J274" s="33"/>
      <c r="K274" s="37" t="s">
        <v>125</v>
      </c>
      <c r="N274" s="53" t="s">
        <v>65</v>
      </c>
      <c r="O274" s="38" t="s">
        <v>125</v>
      </c>
      <c r="Q274" s="53" t="s">
        <v>65</v>
      </c>
      <c r="R274" s="53" t="s">
        <v>2</v>
      </c>
    </row>
    <row r="275" spans="8:18" x14ac:dyDescent="0.25">
      <c r="H275" s="53" t="s">
        <v>376</v>
      </c>
      <c r="I275" s="36" t="s">
        <v>124</v>
      </c>
      <c r="J275" s="33"/>
      <c r="K275" s="37" t="s">
        <v>125</v>
      </c>
      <c r="N275" s="53" t="s">
        <v>376</v>
      </c>
      <c r="O275" s="38" t="s">
        <v>125</v>
      </c>
      <c r="Q275" s="53" t="s">
        <v>376</v>
      </c>
      <c r="R275" s="53" t="s">
        <v>2</v>
      </c>
    </row>
    <row r="276" spans="8:18" x14ac:dyDescent="0.25">
      <c r="H276" s="53" t="s">
        <v>377</v>
      </c>
      <c r="I276" s="36" t="s">
        <v>124</v>
      </c>
      <c r="J276" s="33"/>
      <c r="K276" s="37" t="s">
        <v>125</v>
      </c>
      <c r="N276" s="53" t="s">
        <v>377</v>
      </c>
      <c r="O276" s="38" t="s">
        <v>125</v>
      </c>
      <c r="Q276" s="53" t="s">
        <v>377</v>
      </c>
      <c r="R276" s="53" t="s">
        <v>2</v>
      </c>
    </row>
    <row r="277" spans="8:18" x14ac:dyDescent="0.25">
      <c r="H277" s="53" t="s">
        <v>378</v>
      </c>
      <c r="I277" s="36" t="s">
        <v>124</v>
      </c>
      <c r="J277" s="33"/>
      <c r="K277" s="37" t="s">
        <v>125</v>
      </c>
      <c r="N277" s="53" t="s">
        <v>378</v>
      </c>
      <c r="O277" s="38" t="s">
        <v>125</v>
      </c>
      <c r="Q277" s="53" t="s">
        <v>378</v>
      </c>
      <c r="R277" s="53" t="s">
        <v>2</v>
      </c>
    </row>
    <row r="278" spans="8:18" x14ac:dyDescent="0.25">
      <c r="H278" s="53" t="s">
        <v>379</v>
      </c>
      <c r="I278" s="36" t="s">
        <v>124</v>
      </c>
      <c r="J278" s="33"/>
      <c r="K278" s="37" t="s">
        <v>125</v>
      </c>
      <c r="N278" s="53" t="s">
        <v>379</v>
      </c>
      <c r="O278" s="38" t="s">
        <v>125</v>
      </c>
      <c r="Q278" s="53" t="s">
        <v>379</v>
      </c>
      <c r="R278" s="53" t="s">
        <v>2</v>
      </c>
    </row>
    <row r="279" spans="8:18" x14ac:dyDescent="0.25">
      <c r="H279" s="53" t="s">
        <v>380</v>
      </c>
      <c r="I279" s="36" t="s">
        <v>124</v>
      </c>
      <c r="J279" s="33"/>
      <c r="K279" s="37" t="s">
        <v>125</v>
      </c>
      <c r="N279" s="53" t="s">
        <v>380</v>
      </c>
      <c r="O279" s="38" t="s">
        <v>125</v>
      </c>
      <c r="Q279" s="53" t="s">
        <v>380</v>
      </c>
      <c r="R279" s="53" t="s">
        <v>2</v>
      </c>
    </row>
    <row r="280" spans="8:18" x14ac:dyDescent="0.25">
      <c r="H280" s="53" t="s">
        <v>382</v>
      </c>
      <c r="I280" s="36" t="s">
        <v>124</v>
      </c>
      <c r="J280" s="33"/>
      <c r="K280" s="37" t="s">
        <v>125</v>
      </c>
      <c r="N280" s="53" t="s">
        <v>382</v>
      </c>
      <c r="O280" s="38" t="s">
        <v>125</v>
      </c>
      <c r="Q280" s="53" t="s">
        <v>382</v>
      </c>
      <c r="R280" s="53" t="s">
        <v>2</v>
      </c>
    </row>
    <row r="281" spans="8:18" x14ac:dyDescent="0.25">
      <c r="H281" s="53" t="s">
        <v>384</v>
      </c>
      <c r="I281" s="36" t="s">
        <v>124</v>
      </c>
      <c r="J281" s="33"/>
      <c r="K281" s="37" t="s">
        <v>125</v>
      </c>
      <c r="N281" s="53" t="s">
        <v>384</v>
      </c>
      <c r="O281" s="38" t="s">
        <v>125</v>
      </c>
      <c r="Q281" s="53" t="s">
        <v>384</v>
      </c>
      <c r="R281" s="53" t="s">
        <v>2</v>
      </c>
    </row>
  </sheetData>
  <dataValidations count="2">
    <dataValidation type="list" allowBlank="1" showInputMessage="1" showErrorMessage="1" sqref="P26 P13:P19 P28:P31 P1" xr:uid="{00000000-0002-0000-0100-000000000000}">
      <formula1>"GC à créer,Transport,Distribution"</formula1>
    </dataValidation>
    <dataValidation type="list" allowBlank="1" showInputMessage="1" showErrorMessage="1" sqref="Q1 P9:P11 P33:P35 P24:P25 P27 P41 P7 P2" xr:uid="{00000000-0002-0000-0100-000001000000}">
      <formula1>"ADN,Orange"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26"/>
  <sheetViews>
    <sheetView workbookViewId="0">
      <selection sqref="A1:Q26"/>
    </sheetView>
  </sheetViews>
  <sheetFormatPr baseColWidth="10" defaultRowHeight="15" x14ac:dyDescent="0.25"/>
  <sheetData>
    <row r="1" spans="1:17" x14ac:dyDescent="0.25">
      <c r="A1" t="s">
        <v>460</v>
      </c>
      <c r="B1" t="s">
        <v>461</v>
      </c>
      <c r="C1" t="s">
        <v>462</v>
      </c>
      <c r="D1" t="s">
        <v>463</v>
      </c>
      <c r="E1" t="s">
        <v>464</v>
      </c>
      <c r="F1" t="s">
        <v>465</v>
      </c>
      <c r="G1" t="s">
        <v>466</v>
      </c>
      <c r="H1" t="s">
        <v>467</v>
      </c>
      <c r="I1" t="s">
        <v>468</v>
      </c>
      <c r="J1" t="s">
        <v>469</v>
      </c>
      <c r="K1" t="s">
        <v>470</v>
      </c>
      <c r="L1" t="s">
        <v>471</v>
      </c>
      <c r="M1" t="s">
        <v>472</v>
      </c>
      <c r="N1" t="s">
        <v>473</v>
      </c>
      <c r="O1" t="s">
        <v>474</v>
      </c>
      <c r="P1" t="s">
        <v>475</v>
      </c>
      <c r="Q1" t="s">
        <v>476</v>
      </c>
    </row>
    <row r="2" spans="1:17" x14ac:dyDescent="0.25">
      <c r="A2">
        <v>44</v>
      </c>
      <c r="B2" t="s">
        <v>42</v>
      </c>
      <c r="C2" t="s">
        <v>58</v>
      </c>
      <c r="D2">
        <v>50</v>
      </c>
      <c r="E2" t="s">
        <v>63</v>
      </c>
      <c r="F2" t="s">
        <v>58</v>
      </c>
      <c r="G2">
        <v>91</v>
      </c>
      <c r="H2" t="s">
        <v>118</v>
      </c>
      <c r="J2">
        <v>80</v>
      </c>
      <c r="K2" t="s">
        <v>477</v>
      </c>
      <c r="L2" t="s">
        <v>103</v>
      </c>
      <c r="M2" t="s">
        <v>104</v>
      </c>
      <c r="N2" t="s">
        <v>16</v>
      </c>
      <c r="O2" t="s">
        <v>16</v>
      </c>
      <c r="P2" t="s">
        <v>16</v>
      </c>
      <c r="Q2">
        <v>1</v>
      </c>
    </row>
    <row r="3" spans="1:17" x14ac:dyDescent="0.25">
      <c r="A3">
        <v>44</v>
      </c>
      <c r="B3" t="s">
        <v>42</v>
      </c>
      <c r="C3" t="s">
        <v>58</v>
      </c>
      <c r="D3">
        <v>40</v>
      </c>
      <c r="E3" t="s">
        <v>53</v>
      </c>
      <c r="F3" t="s">
        <v>58</v>
      </c>
      <c r="G3">
        <v>92</v>
      </c>
      <c r="H3" t="s">
        <v>209</v>
      </c>
      <c r="J3">
        <v>112</v>
      </c>
      <c r="K3" t="s">
        <v>477</v>
      </c>
      <c r="L3" t="s">
        <v>104</v>
      </c>
      <c r="M3" t="s">
        <v>104</v>
      </c>
      <c r="N3" t="s">
        <v>16</v>
      </c>
      <c r="O3" t="s">
        <v>16</v>
      </c>
      <c r="P3" t="s">
        <v>16</v>
      </c>
      <c r="Q3">
        <v>2</v>
      </c>
    </row>
    <row r="4" spans="1:17" x14ac:dyDescent="0.25">
      <c r="A4">
        <v>44</v>
      </c>
      <c r="B4" t="s">
        <v>42</v>
      </c>
      <c r="C4" t="s">
        <v>58</v>
      </c>
      <c r="D4">
        <v>43</v>
      </c>
      <c r="E4" t="s">
        <v>54</v>
      </c>
      <c r="F4" t="s">
        <v>59</v>
      </c>
      <c r="G4">
        <v>95</v>
      </c>
      <c r="H4" t="s">
        <v>110</v>
      </c>
      <c r="J4">
        <v>26</v>
      </c>
      <c r="K4" t="s">
        <v>477</v>
      </c>
      <c r="L4" t="s">
        <v>104</v>
      </c>
      <c r="M4" t="s">
        <v>104</v>
      </c>
      <c r="N4" t="s">
        <v>16</v>
      </c>
      <c r="O4" t="s">
        <v>16</v>
      </c>
      <c r="P4" t="s">
        <v>16</v>
      </c>
      <c r="Q4">
        <v>3</v>
      </c>
    </row>
    <row r="5" spans="1:17" x14ac:dyDescent="0.25">
      <c r="A5">
        <v>44</v>
      </c>
      <c r="B5" t="s">
        <v>42</v>
      </c>
      <c r="C5" t="s">
        <v>58</v>
      </c>
      <c r="D5">
        <v>19</v>
      </c>
      <c r="E5" t="s">
        <v>63</v>
      </c>
      <c r="F5" t="s">
        <v>58</v>
      </c>
      <c r="G5">
        <v>100</v>
      </c>
      <c r="H5" t="s">
        <v>118</v>
      </c>
      <c r="J5">
        <v>159</v>
      </c>
      <c r="K5" t="s">
        <v>477</v>
      </c>
      <c r="L5" t="s">
        <v>104</v>
      </c>
      <c r="M5" t="s">
        <v>104</v>
      </c>
      <c r="N5" t="s">
        <v>16</v>
      </c>
      <c r="O5" t="s">
        <v>16</v>
      </c>
      <c r="P5" t="s">
        <v>16</v>
      </c>
      <c r="Q5">
        <v>4</v>
      </c>
    </row>
    <row r="6" spans="1:17" x14ac:dyDescent="0.25">
      <c r="A6">
        <v>44</v>
      </c>
      <c r="B6" t="s">
        <v>42</v>
      </c>
      <c r="C6" t="s">
        <v>58</v>
      </c>
      <c r="D6">
        <v>20</v>
      </c>
      <c r="E6" t="s">
        <v>54</v>
      </c>
      <c r="F6" t="s">
        <v>59</v>
      </c>
      <c r="G6">
        <v>254</v>
      </c>
      <c r="H6" t="s">
        <v>110</v>
      </c>
      <c r="J6">
        <v>19</v>
      </c>
      <c r="K6" t="s">
        <v>477</v>
      </c>
      <c r="L6" t="s">
        <v>104</v>
      </c>
      <c r="M6" t="s">
        <v>104</v>
      </c>
      <c r="N6" t="s">
        <v>16</v>
      </c>
      <c r="O6" t="s">
        <v>16</v>
      </c>
      <c r="P6" t="s">
        <v>16</v>
      </c>
      <c r="Q6">
        <v>5</v>
      </c>
    </row>
    <row r="7" spans="1:17" x14ac:dyDescent="0.25">
      <c r="A7">
        <v>40</v>
      </c>
      <c r="B7" t="s">
        <v>53</v>
      </c>
      <c r="C7" t="s">
        <v>58</v>
      </c>
      <c r="D7">
        <v>42</v>
      </c>
      <c r="E7" t="s">
        <v>54</v>
      </c>
      <c r="F7" t="s">
        <v>59</v>
      </c>
      <c r="G7">
        <v>44</v>
      </c>
      <c r="H7" t="s">
        <v>116</v>
      </c>
      <c r="J7">
        <v>24</v>
      </c>
      <c r="K7" t="s">
        <v>477</v>
      </c>
      <c r="L7" t="s">
        <v>104</v>
      </c>
      <c r="M7" t="s">
        <v>104</v>
      </c>
      <c r="N7" t="s">
        <v>16</v>
      </c>
      <c r="O7" t="s">
        <v>16</v>
      </c>
      <c r="P7" t="s">
        <v>16</v>
      </c>
      <c r="Q7">
        <v>7</v>
      </c>
    </row>
    <row r="8" spans="1:17" x14ac:dyDescent="0.25">
      <c r="A8">
        <v>40</v>
      </c>
      <c r="B8" t="s">
        <v>53</v>
      </c>
      <c r="C8" t="s">
        <v>58</v>
      </c>
      <c r="D8">
        <v>46</v>
      </c>
      <c r="E8" t="s">
        <v>53</v>
      </c>
      <c r="F8" t="s">
        <v>58</v>
      </c>
      <c r="G8">
        <v>54</v>
      </c>
      <c r="H8" t="s">
        <v>107</v>
      </c>
      <c r="J8">
        <v>96</v>
      </c>
      <c r="K8" t="s">
        <v>477</v>
      </c>
      <c r="L8" t="s">
        <v>104</v>
      </c>
      <c r="M8" t="s">
        <v>104</v>
      </c>
      <c r="N8" t="s">
        <v>16</v>
      </c>
      <c r="O8" t="s">
        <v>16</v>
      </c>
      <c r="P8" t="s">
        <v>16</v>
      </c>
      <c r="Q8">
        <v>9</v>
      </c>
    </row>
    <row r="9" spans="1:17" x14ac:dyDescent="0.25">
      <c r="A9">
        <v>40</v>
      </c>
      <c r="B9" t="s">
        <v>53</v>
      </c>
      <c r="C9" t="s">
        <v>58</v>
      </c>
      <c r="D9">
        <v>41</v>
      </c>
      <c r="E9" t="s">
        <v>53</v>
      </c>
      <c r="F9" t="s">
        <v>58</v>
      </c>
      <c r="G9">
        <v>145</v>
      </c>
      <c r="H9" t="s">
        <v>116</v>
      </c>
      <c r="J9">
        <v>40</v>
      </c>
      <c r="K9" t="s">
        <v>477</v>
      </c>
      <c r="L9" t="s">
        <v>104</v>
      </c>
      <c r="M9" t="s">
        <v>104</v>
      </c>
      <c r="N9" t="s">
        <v>16</v>
      </c>
      <c r="O9" t="s">
        <v>16</v>
      </c>
      <c r="P9" t="s">
        <v>16</v>
      </c>
      <c r="Q9">
        <v>11</v>
      </c>
    </row>
    <row r="10" spans="1:17" x14ac:dyDescent="0.25">
      <c r="A10">
        <v>40</v>
      </c>
      <c r="B10" t="s">
        <v>53</v>
      </c>
      <c r="C10" t="s">
        <v>58</v>
      </c>
      <c r="D10">
        <v>24</v>
      </c>
      <c r="E10" t="s">
        <v>44</v>
      </c>
      <c r="F10" t="s">
        <v>58</v>
      </c>
      <c r="G10">
        <v>219</v>
      </c>
      <c r="H10" t="s">
        <v>107</v>
      </c>
      <c r="J10">
        <v>248</v>
      </c>
      <c r="K10" t="s">
        <v>477</v>
      </c>
      <c r="L10" t="s">
        <v>104</v>
      </c>
      <c r="M10" t="s">
        <v>104</v>
      </c>
      <c r="N10" t="s">
        <v>16</v>
      </c>
      <c r="O10" t="s">
        <v>16</v>
      </c>
      <c r="P10" t="s">
        <v>16</v>
      </c>
      <c r="Q10">
        <v>13</v>
      </c>
    </row>
    <row r="11" spans="1:17" x14ac:dyDescent="0.25">
      <c r="A11">
        <v>40</v>
      </c>
      <c r="B11" t="s">
        <v>53</v>
      </c>
      <c r="C11" t="s">
        <v>58</v>
      </c>
      <c r="D11">
        <v>47</v>
      </c>
      <c r="E11" t="s">
        <v>54</v>
      </c>
      <c r="F11" t="s">
        <v>59</v>
      </c>
      <c r="G11">
        <v>261</v>
      </c>
      <c r="H11" t="s">
        <v>110</v>
      </c>
      <c r="J11">
        <v>46</v>
      </c>
      <c r="K11" t="s">
        <v>477</v>
      </c>
      <c r="L11" t="s">
        <v>104</v>
      </c>
      <c r="M11" t="s">
        <v>104</v>
      </c>
      <c r="N11" t="s">
        <v>16</v>
      </c>
      <c r="O11" t="s">
        <v>16</v>
      </c>
      <c r="P11" t="s">
        <v>16</v>
      </c>
      <c r="Q11">
        <v>15</v>
      </c>
    </row>
    <row r="12" spans="1:17" x14ac:dyDescent="0.25">
      <c r="A12">
        <v>40</v>
      </c>
      <c r="B12" t="s">
        <v>53</v>
      </c>
      <c r="C12" t="s">
        <v>58</v>
      </c>
      <c r="D12">
        <v>66</v>
      </c>
      <c r="E12" t="s">
        <v>54</v>
      </c>
      <c r="F12" t="s">
        <v>59</v>
      </c>
      <c r="G12">
        <v>263</v>
      </c>
      <c r="H12" t="s">
        <v>107</v>
      </c>
      <c r="J12">
        <v>520</v>
      </c>
      <c r="K12" t="s">
        <v>477</v>
      </c>
      <c r="L12" t="s">
        <v>104</v>
      </c>
      <c r="M12" t="s">
        <v>104</v>
      </c>
      <c r="N12" t="s">
        <v>16</v>
      </c>
      <c r="O12" t="s">
        <v>16</v>
      </c>
      <c r="P12" t="s">
        <v>16</v>
      </c>
      <c r="Q12">
        <v>17</v>
      </c>
    </row>
    <row r="13" spans="1:17" x14ac:dyDescent="0.25">
      <c r="A13">
        <v>50</v>
      </c>
      <c r="B13" t="s">
        <v>63</v>
      </c>
      <c r="C13" t="s">
        <v>58</v>
      </c>
      <c r="D13">
        <v>49</v>
      </c>
      <c r="E13" t="s">
        <v>45</v>
      </c>
      <c r="F13" t="s">
        <v>59</v>
      </c>
      <c r="G13">
        <v>302</v>
      </c>
      <c r="H13" t="s">
        <v>118</v>
      </c>
      <c r="J13">
        <v>60</v>
      </c>
      <c r="K13" t="s">
        <v>477</v>
      </c>
      <c r="L13" t="s">
        <v>104</v>
      </c>
      <c r="M13" t="s">
        <v>104</v>
      </c>
      <c r="N13" t="s">
        <v>16</v>
      </c>
      <c r="O13" t="s">
        <v>16</v>
      </c>
      <c r="P13" t="s">
        <v>16</v>
      </c>
      <c r="Q13">
        <v>19</v>
      </c>
    </row>
    <row r="14" spans="1:17" x14ac:dyDescent="0.25">
      <c r="A14">
        <v>50</v>
      </c>
      <c r="B14" t="s">
        <v>63</v>
      </c>
      <c r="C14" t="s">
        <v>58</v>
      </c>
      <c r="D14">
        <v>55</v>
      </c>
      <c r="E14" t="s">
        <v>63</v>
      </c>
      <c r="F14" t="s">
        <v>58</v>
      </c>
      <c r="G14">
        <v>411</v>
      </c>
      <c r="H14" t="s">
        <v>155</v>
      </c>
      <c r="J14">
        <v>18</v>
      </c>
      <c r="K14" t="s">
        <v>477</v>
      </c>
      <c r="L14" t="s">
        <v>104</v>
      </c>
      <c r="M14" t="s">
        <v>104</v>
      </c>
      <c r="N14" t="s">
        <v>16</v>
      </c>
      <c r="O14" t="s">
        <v>16</v>
      </c>
      <c r="P14" t="s">
        <v>16</v>
      </c>
      <c r="Q14">
        <v>21</v>
      </c>
    </row>
    <row r="15" spans="1:17" x14ac:dyDescent="0.25">
      <c r="A15">
        <v>19</v>
      </c>
      <c r="B15" t="s">
        <v>63</v>
      </c>
      <c r="C15" t="s">
        <v>58</v>
      </c>
      <c r="D15">
        <v>18</v>
      </c>
      <c r="E15" t="s">
        <v>63</v>
      </c>
      <c r="F15" t="s">
        <v>58</v>
      </c>
      <c r="G15">
        <v>419</v>
      </c>
      <c r="H15" t="s">
        <v>118</v>
      </c>
      <c r="J15">
        <v>90</v>
      </c>
      <c r="K15" t="s">
        <v>477</v>
      </c>
      <c r="L15" t="s">
        <v>104</v>
      </c>
      <c r="M15" t="s">
        <v>104</v>
      </c>
      <c r="N15" t="s">
        <v>16</v>
      </c>
      <c r="O15" t="s">
        <v>16</v>
      </c>
      <c r="P15" t="s">
        <v>16</v>
      </c>
      <c r="Q15">
        <v>23</v>
      </c>
    </row>
    <row r="16" spans="1:17" x14ac:dyDescent="0.25">
      <c r="A16">
        <v>46</v>
      </c>
      <c r="B16" t="s">
        <v>53</v>
      </c>
      <c r="C16" t="s">
        <v>58</v>
      </c>
      <c r="D16">
        <v>26</v>
      </c>
      <c r="E16" t="s">
        <v>54</v>
      </c>
      <c r="F16" t="s">
        <v>59</v>
      </c>
      <c r="G16">
        <v>2</v>
      </c>
      <c r="H16" t="s">
        <v>66</v>
      </c>
      <c r="J16">
        <v>20</v>
      </c>
      <c r="K16" t="s">
        <v>477</v>
      </c>
      <c r="L16" t="s">
        <v>104</v>
      </c>
      <c r="M16" t="s">
        <v>104</v>
      </c>
      <c r="N16" t="s">
        <v>16</v>
      </c>
      <c r="O16" t="s">
        <v>16</v>
      </c>
      <c r="P16" t="s">
        <v>16</v>
      </c>
      <c r="Q16">
        <v>26</v>
      </c>
    </row>
    <row r="17" spans="1:17" x14ac:dyDescent="0.25">
      <c r="A17">
        <v>46</v>
      </c>
      <c r="B17" t="s">
        <v>53</v>
      </c>
      <c r="C17" t="s">
        <v>58</v>
      </c>
      <c r="D17">
        <v>24</v>
      </c>
      <c r="E17" t="s">
        <v>44</v>
      </c>
      <c r="F17" t="s">
        <v>58</v>
      </c>
      <c r="G17">
        <v>50</v>
      </c>
      <c r="H17" t="s">
        <v>107</v>
      </c>
      <c r="J17">
        <v>154</v>
      </c>
      <c r="K17" t="s">
        <v>477</v>
      </c>
      <c r="L17" t="s">
        <v>104</v>
      </c>
      <c r="M17" t="s">
        <v>104</v>
      </c>
      <c r="N17" t="s">
        <v>16</v>
      </c>
      <c r="O17" t="s">
        <v>16</v>
      </c>
      <c r="P17" t="s">
        <v>16</v>
      </c>
      <c r="Q17">
        <v>29</v>
      </c>
    </row>
    <row r="18" spans="1:17" x14ac:dyDescent="0.25">
      <c r="A18">
        <v>24</v>
      </c>
      <c r="B18" t="s">
        <v>44</v>
      </c>
      <c r="C18" t="s">
        <v>58</v>
      </c>
      <c r="D18">
        <v>46</v>
      </c>
      <c r="E18" t="s">
        <v>53</v>
      </c>
      <c r="F18" t="s">
        <v>58</v>
      </c>
      <c r="G18">
        <v>50</v>
      </c>
      <c r="H18" t="s">
        <v>107</v>
      </c>
      <c r="J18">
        <v>154</v>
      </c>
      <c r="K18" t="s">
        <v>477</v>
      </c>
      <c r="L18" t="s">
        <v>104</v>
      </c>
      <c r="M18" t="s">
        <v>104</v>
      </c>
      <c r="N18" t="s">
        <v>16</v>
      </c>
      <c r="O18" t="s">
        <v>16</v>
      </c>
      <c r="P18" t="s">
        <v>16</v>
      </c>
      <c r="Q18">
        <v>32</v>
      </c>
    </row>
    <row r="19" spans="1:17" x14ac:dyDescent="0.25">
      <c r="A19">
        <v>24</v>
      </c>
      <c r="B19" t="s">
        <v>44</v>
      </c>
      <c r="C19" t="s">
        <v>58</v>
      </c>
      <c r="D19">
        <v>27</v>
      </c>
      <c r="E19" t="s">
        <v>54</v>
      </c>
      <c r="F19" t="s">
        <v>59</v>
      </c>
      <c r="G19">
        <v>56</v>
      </c>
      <c r="H19" t="s">
        <v>110</v>
      </c>
      <c r="J19">
        <v>109</v>
      </c>
      <c r="K19" t="s">
        <v>477</v>
      </c>
      <c r="L19" t="s">
        <v>104</v>
      </c>
      <c r="M19" t="s">
        <v>104</v>
      </c>
      <c r="N19" t="s">
        <v>16</v>
      </c>
      <c r="O19" t="s">
        <v>16</v>
      </c>
      <c r="P19" t="s">
        <v>16</v>
      </c>
      <c r="Q19">
        <v>35</v>
      </c>
    </row>
    <row r="20" spans="1:17" x14ac:dyDescent="0.25">
      <c r="A20">
        <v>41</v>
      </c>
      <c r="B20" t="s">
        <v>53</v>
      </c>
      <c r="C20" t="s">
        <v>58</v>
      </c>
      <c r="D20">
        <v>92</v>
      </c>
      <c r="E20" t="s">
        <v>54</v>
      </c>
      <c r="F20" t="s">
        <v>59</v>
      </c>
      <c r="G20">
        <v>90</v>
      </c>
      <c r="H20" t="s">
        <v>110</v>
      </c>
      <c r="J20">
        <v>62</v>
      </c>
      <c r="K20" t="s">
        <v>477</v>
      </c>
      <c r="L20" t="s">
        <v>104</v>
      </c>
      <c r="M20" t="s">
        <v>104</v>
      </c>
      <c r="N20" t="s">
        <v>16</v>
      </c>
      <c r="O20" t="s">
        <v>16</v>
      </c>
      <c r="P20" t="s">
        <v>16</v>
      </c>
      <c r="Q20">
        <v>38</v>
      </c>
    </row>
    <row r="21" spans="1:17" x14ac:dyDescent="0.25">
      <c r="A21">
        <v>18</v>
      </c>
      <c r="B21" t="s">
        <v>63</v>
      </c>
      <c r="C21" t="s">
        <v>58</v>
      </c>
      <c r="D21">
        <v>17</v>
      </c>
      <c r="E21" t="s">
        <v>63</v>
      </c>
      <c r="F21" t="s">
        <v>58</v>
      </c>
      <c r="G21">
        <v>164</v>
      </c>
      <c r="H21" t="s">
        <v>118</v>
      </c>
      <c r="J21">
        <v>31</v>
      </c>
      <c r="K21" t="s">
        <v>477</v>
      </c>
      <c r="L21" t="s">
        <v>104</v>
      </c>
      <c r="M21" t="s">
        <v>104</v>
      </c>
      <c r="N21" t="s">
        <v>16</v>
      </c>
      <c r="O21" t="s">
        <v>16</v>
      </c>
      <c r="P21" t="s">
        <v>16</v>
      </c>
      <c r="Q21">
        <v>41</v>
      </c>
    </row>
    <row r="22" spans="1:17" x14ac:dyDescent="0.25">
      <c r="A22">
        <v>41</v>
      </c>
      <c r="B22" t="s">
        <v>53</v>
      </c>
      <c r="C22" t="s">
        <v>58</v>
      </c>
      <c r="D22">
        <v>48</v>
      </c>
      <c r="E22" t="s">
        <v>53</v>
      </c>
      <c r="F22" t="s">
        <v>58</v>
      </c>
      <c r="G22">
        <v>202</v>
      </c>
      <c r="H22" t="s">
        <v>107</v>
      </c>
      <c r="J22">
        <v>228</v>
      </c>
      <c r="K22" t="s">
        <v>477</v>
      </c>
      <c r="L22" t="s">
        <v>104</v>
      </c>
      <c r="M22" t="s">
        <v>104</v>
      </c>
      <c r="N22" t="s">
        <v>16</v>
      </c>
      <c r="O22" t="s">
        <v>16</v>
      </c>
      <c r="P22" t="s">
        <v>16</v>
      </c>
      <c r="Q22">
        <v>44</v>
      </c>
    </row>
    <row r="23" spans="1:17" x14ac:dyDescent="0.25">
      <c r="A23">
        <v>41</v>
      </c>
      <c r="B23" t="s">
        <v>53</v>
      </c>
      <c r="C23" t="s">
        <v>58</v>
      </c>
      <c r="D23">
        <v>39</v>
      </c>
      <c r="E23" t="s">
        <v>53</v>
      </c>
      <c r="F23" t="s">
        <v>59</v>
      </c>
      <c r="G23">
        <v>203</v>
      </c>
      <c r="H23" t="s">
        <v>107</v>
      </c>
      <c r="J23">
        <v>280</v>
      </c>
      <c r="K23" t="s">
        <v>477</v>
      </c>
      <c r="L23" t="s">
        <v>104</v>
      </c>
      <c r="M23" t="s">
        <v>104</v>
      </c>
      <c r="N23" t="s">
        <v>16</v>
      </c>
      <c r="O23" t="s">
        <v>16</v>
      </c>
      <c r="P23" t="s">
        <v>16</v>
      </c>
      <c r="Q23">
        <v>47</v>
      </c>
    </row>
    <row r="24" spans="1:17" x14ac:dyDescent="0.25">
      <c r="A24">
        <v>49</v>
      </c>
      <c r="B24" t="s">
        <v>45</v>
      </c>
      <c r="C24" t="s">
        <v>59</v>
      </c>
      <c r="D24">
        <v>48</v>
      </c>
      <c r="E24" t="s">
        <v>53</v>
      </c>
      <c r="F24" t="s">
        <v>58</v>
      </c>
      <c r="G24">
        <v>300</v>
      </c>
      <c r="H24" t="s">
        <v>116</v>
      </c>
      <c r="J24">
        <v>97</v>
      </c>
      <c r="K24" t="s">
        <v>477</v>
      </c>
      <c r="L24" t="s">
        <v>104</v>
      </c>
      <c r="M24" t="s">
        <v>104</v>
      </c>
      <c r="N24" t="s">
        <v>16</v>
      </c>
      <c r="O24" t="s">
        <v>16</v>
      </c>
      <c r="P24" t="s">
        <v>16</v>
      </c>
      <c r="Q24">
        <v>50</v>
      </c>
    </row>
    <row r="25" spans="1:17" x14ac:dyDescent="0.25">
      <c r="A25">
        <v>46</v>
      </c>
      <c r="B25" t="s">
        <v>53</v>
      </c>
      <c r="C25" t="s">
        <v>58</v>
      </c>
      <c r="D25">
        <v>25</v>
      </c>
      <c r="E25" t="s">
        <v>54</v>
      </c>
      <c r="F25" t="s">
        <v>59</v>
      </c>
      <c r="G25">
        <v>315</v>
      </c>
      <c r="H25" t="s">
        <v>66</v>
      </c>
      <c r="J25">
        <v>91</v>
      </c>
      <c r="K25" t="s">
        <v>477</v>
      </c>
      <c r="L25" t="s">
        <v>104</v>
      </c>
      <c r="M25" t="s">
        <v>104</v>
      </c>
      <c r="N25" t="s">
        <v>16</v>
      </c>
      <c r="O25" t="s">
        <v>16</v>
      </c>
      <c r="P25" t="s">
        <v>16</v>
      </c>
      <c r="Q25">
        <v>53</v>
      </c>
    </row>
    <row r="26" spans="1:17" x14ac:dyDescent="0.25">
      <c r="A26">
        <v>41</v>
      </c>
      <c r="B26" t="s">
        <v>53</v>
      </c>
      <c r="C26" t="s">
        <v>58</v>
      </c>
      <c r="D26">
        <v>45</v>
      </c>
      <c r="E26" t="s">
        <v>54</v>
      </c>
      <c r="F26" t="s">
        <v>59</v>
      </c>
      <c r="G26">
        <v>409</v>
      </c>
      <c r="H26" t="s">
        <v>66</v>
      </c>
      <c r="J26">
        <v>19</v>
      </c>
      <c r="K26" t="s">
        <v>477</v>
      </c>
      <c r="L26" t="s">
        <v>104</v>
      </c>
      <c r="M26" t="s">
        <v>104</v>
      </c>
      <c r="N26" t="s">
        <v>16</v>
      </c>
      <c r="O26" t="s">
        <v>16</v>
      </c>
      <c r="P26" t="s">
        <v>16</v>
      </c>
      <c r="Q26">
        <v>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Z46"/>
  <sheetViews>
    <sheetView topLeftCell="K7" workbookViewId="0">
      <selection activeCell="K7" sqref="A1:XFD1048576"/>
    </sheetView>
  </sheetViews>
  <sheetFormatPr baseColWidth="10" defaultRowHeight="15" x14ac:dyDescent="0.25"/>
  <cols>
    <col min="14" max="14" width="16.28515625" bestFit="1" customWidth="1"/>
  </cols>
  <sheetData>
    <row r="1" spans="2:26" ht="15.75" thickBot="1" x14ac:dyDescent="0.3"/>
    <row r="2" spans="2:26" ht="27" thickBot="1" x14ac:dyDescent="0.3">
      <c r="B2" s="57" t="s">
        <v>70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9"/>
    </row>
    <row r="3" spans="2:26" ht="27" thickBot="1" x14ac:dyDescent="0.3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2:26" ht="18.75" x14ac:dyDescent="0.25">
      <c r="B4" s="60" t="s">
        <v>71</v>
      </c>
      <c r="C4" s="61"/>
      <c r="D4" s="61"/>
      <c r="E4" s="62"/>
      <c r="F4" s="63">
        <v>1</v>
      </c>
      <c r="G4" s="64"/>
      <c r="H4" s="64"/>
      <c r="I4" s="64"/>
      <c r="J4" s="64"/>
      <c r="K4" s="64"/>
      <c r="L4" s="6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2:26" x14ac:dyDescent="0.25">
      <c r="B5" s="66" t="s">
        <v>72</v>
      </c>
      <c r="C5" s="67"/>
      <c r="D5" s="67"/>
      <c r="E5" s="68"/>
      <c r="F5" s="69" t="s">
        <v>73</v>
      </c>
      <c r="G5" s="70"/>
      <c r="H5" s="70"/>
      <c r="I5" s="70"/>
      <c r="J5" s="70"/>
      <c r="K5" s="70"/>
      <c r="L5" s="71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ht="15.75" thickBot="1" x14ac:dyDescent="0.3">
      <c r="B6" s="72" t="s">
        <v>74</v>
      </c>
      <c r="C6" s="73"/>
      <c r="D6" s="73"/>
      <c r="E6" s="74"/>
      <c r="F6" s="75" t="s">
        <v>75</v>
      </c>
      <c r="G6" s="76"/>
      <c r="H6" s="76"/>
      <c r="I6" s="76"/>
      <c r="J6" s="76"/>
      <c r="K6" s="76"/>
      <c r="L6" s="77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2:26" ht="15.75" thickBot="1" x14ac:dyDescent="0.3"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2:26" ht="15.75" thickBot="1" x14ac:dyDescent="0.3">
      <c r="C8" s="78" t="s">
        <v>76</v>
      </c>
      <c r="D8" s="79"/>
      <c r="E8" s="79"/>
      <c r="F8" s="80"/>
      <c r="G8" s="78" t="s">
        <v>77</v>
      </c>
      <c r="H8" s="79"/>
      <c r="I8" s="79"/>
      <c r="J8" s="80"/>
      <c r="K8" s="78" t="s">
        <v>78</v>
      </c>
      <c r="L8" s="80"/>
      <c r="M8" s="78" t="s">
        <v>79</v>
      </c>
      <c r="N8" s="79"/>
      <c r="O8" s="79"/>
      <c r="P8" s="79"/>
      <c r="Q8" s="79"/>
      <c r="R8" s="79"/>
      <c r="S8" s="80"/>
      <c r="T8" s="78" t="s">
        <v>80</v>
      </c>
      <c r="U8" s="79"/>
      <c r="V8" s="79"/>
      <c r="W8" s="79"/>
      <c r="X8" s="79"/>
      <c r="Y8" s="79"/>
      <c r="Z8" s="80"/>
    </row>
    <row r="9" spans="2:26" ht="45.75" thickBot="1" x14ac:dyDescent="0.3">
      <c r="B9" s="16" t="s">
        <v>81</v>
      </c>
      <c r="C9" s="17" t="s">
        <v>82</v>
      </c>
      <c r="D9" s="18" t="s">
        <v>83</v>
      </c>
      <c r="E9" s="18" t="s">
        <v>84</v>
      </c>
      <c r="F9" s="19" t="s">
        <v>55</v>
      </c>
      <c r="G9" s="17" t="s">
        <v>85</v>
      </c>
      <c r="H9" s="18" t="s">
        <v>86</v>
      </c>
      <c r="I9" s="18" t="s">
        <v>87</v>
      </c>
      <c r="J9" s="19" t="s">
        <v>55</v>
      </c>
      <c r="K9" s="17" t="s">
        <v>88</v>
      </c>
      <c r="L9" s="19" t="s">
        <v>89</v>
      </c>
      <c r="M9" s="17" t="s">
        <v>90</v>
      </c>
      <c r="N9" s="18" t="s">
        <v>91</v>
      </c>
      <c r="O9" s="18" t="s">
        <v>92</v>
      </c>
      <c r="P9" s="18" t="s">
        <v>93</v>
      </c>
      <c r="Q9" s="18" t="s">
        <v>94</v>
      </c>
      <c r="R9" s="18" t="s">
        <v>95</v>
      </c>
      <c r="S9" s="19" t="s">
        <v>96</v>
      </c>
      <c r="T9" s="20" t="s">
        <v>97</v>
      </c>
      <c r="U9" s="81" t="s">
        <v>98</v>
      </c>
      <c r="V9" s="81"/>
      <c r="W9" s="81"/>
      <c r="X9" s="81"/>
      <c r="Y9" s="81"/>
      <c r="Z9" s="82"/>
    </row>
    <row r="10" spans="2:26" x14ac:dyDescent="0.25">
      <c r="B10" s="21" t="s">
        <v>16</v>
      </c>
      <c r="C10" s="22" t="s">
        <v>99</v>
      </c>
      <c r="D10" s="23" t="s">
        <v>16</v>
      </c>
      <c r="E10" s="23" t="s">
        <v>16</v>
      </c>
      <c r="F10" s="24" t="s">
        <v>16</v>
      </c>
      <c r="G10" s="22" t="s">
        <v>100</v>
      </c>
      <c r="H10" s="23" t="s">
        <v>16</v>
      </c>
      <c r="I10" s="23" t="s">
        <v>16</v>
      </c>
      <c r="J10" s="24" t="s">
        <v>16</v>
      </c>
      <c r="K10" s="25" t="s">
        <v>16</v>
      </c>
      <c r="L10" s="24" t="s">
        <v>16</v>
      </c>
      <c r="M10" s="26">
        <v>5</v>
      </c>
      <c r="N10" s="23" t="s">
        <v>16</v>
      </c>
      <c r="O10" s="27" t="s">
        <v>101</v>
      </c>
      <c r="P10" s="23" t="s">
        <v>102</v>
      </c>
      <c r="Q10" s="23" t="s">
        <v>16</v>
      </c>
      <c r="R10" s="23" t="s">
        <v>16</v>
      </c>
      <c r="S10" s="24" t="s">
        <v>16</v>
      </c>
      <c r="T10" s="54"/>
      <c r="U10" s="83"/>
      <c r="V10" s="84"/>
      <c r="W10" s="84"/>
      <c r="X10" s="84"/>
      <c r="Y10" s="84"/>
      <c r="Z10" s="85"/>
    </row>
    <row r="11" spans="2:26" x14ac:dyDescent="0.25">
      <c r="B11" s="28" t="str">
        <f>IF(ISBLANK(Diag_NRO_export!N2),"",Diag_NRO_export!N2)</f>
        <v>-</v>
      </c>
      <c r="C11" s="22" t="s">
        <v>100</v>
      </c>
      <c r="D11" s="23" t="s">
        <v>16</v>
      </c>
      <c r="E11" s="23" t="s">
        <v>16</v>
      </c>
      <c r="F11" s="24" t="s">
        <v>16</v>
      </c>
      <c r="G11" s="22">
        <f>IF(ISBLANK(Diag_NRO_export!A2),"",Diag_NRO_export!A2)</f>
        <v>44</v>
      </c>
      <c r="H11" s="23" t="str">
        <f>IF(ISBLANK(Diag_NRO_export!B2),"",Diag_NRO_export!B2)</f>
        <v>D2</v>
      </c>
      <c r="I11" s="23" t="str">
        <f>IF(ISBLANK(Diag_NRO_export!A2),"",VLOOKUP(Diag_NRO_export!C2,Diag_macro!$D$2:$E$6,2,FALSE))</f>
        <v>Chaussée</v>
      </c>
      <c r="J11" s="24" t="str">
        <f>IF(ISBLANK(Diag_NRO_export!A2),"",VLOOKUP(Diag_NRO_export!B2,Diag_macro!$A$2:$B$300,2,FALSE))</f>
        <v>&lt;40dcm3</v>
      </c>
      <c r="K11" s="25" t="s">
        <v>16</v>
      </c>
      <c r="L11" s="24" t="s">
        <v>16</v>
      </c>
      <c r="M11" s="26">
        <v>107</v>
      </c>
      <c r="N11" s="23" t="s">
        <v>16</v>
      </c>
      <c r="O11" s="27" t="s">
        <v>101</v>
      </c>
      <c r="P11" s="23" t="s">
        <v>102</v>
      </c>
      <c r="Q11" s="23" t="s">
        <v>16</v>
      </c>
      <c r="R11" s="23" t="s">
        <v>16</v>
      </c>
      <c r="S11" s="24" t="s">
        <v>16</v>
      </c>
      <c r="T11" s="54"/>
      <c r="U11" s="86"/>
      <c r="V11" s="87"/>
      <c r="W11" s="87"/>
      <c r="X11" s="87"/>
      <c r="Y11" s="87"/>
      <c r="Z11" s="88"/>
    </row>
    <row r="12" spans="2:26" x14ac:dyDescent="0.25">
      <c r="B12" s="28" t="str">
        <f>IF(ISBLANK(Diag_NRO_export!N2),"",Diag_NRO_export!N2)</f>
        <v>-</v>
      </c>
      <c r="C12" s="22">
        <f>IF(ISBLANK(Diag_NRO_export!A2),"",Diag_NRO_export!A2)</f>
        <v>44</v>
      </c>
      <c r="D12" s="23" t="str">
        <f>IF(ISBLANK(Diag_NRO_export!B2),"",Diag_NRO_export!B2)</f>
        <v>D2</v>
      </c>
      <c r="E12" s="23" t="str">
        <f>IF(ISBLANK(Diag_NRO_export!A2),"",VLOOKUP(Diag_NRO_export!C2,Diag_macro!$D$2:$E$6,2,FALSE))</f>
        <v>Chaussée</v>
      </c>
      <c r="F12" s="24" t="str">
        <f>IF(ISBLANK(Diag_NRO_export!A2),"",VLOOKUP(Diag_NRO_export!B2,Diag_macro!$A$2:$B$300,2,FALSE))</f>
        <v>&lt;40dcm3</v>
      </c>
      <c r="G12" s="22">
        <f>IF(ISBLANK(Diag_NRO_export!D2),"",Diag_NRO_export!D2)</f>
        <v>50</v>
      </c>
      <c r="H12" s="23" t="str">
        <f>IF(ISBLANK(Diag_NRO_export!E2),"",Diag_NRO_export!E2)</f>
        <v>M1C</v>
      </c>
      <c r="I12" s="23" t="str">
        <f>IF(ISBLANK(Diag_NRO_export!E2),"",VLOOKUP(Diag_NRO_export!F2,Diag_macro!$D$2:$E$6,2,FALSE))</f>
        <v>Chaussée</v>
      </c>
      <c r="J12" s="24" t="str">
        <f>IF(ISBLANK(Diag_NRO_export!E2),"",VLOOKUP(Diag_NRO_export!E2,Diag_macro!$A$2:$B$300,2,FALSE))</f>
        <v>&lt;40dcm3</v>
      </c>
      <c r="K12" s="25" t="str">
        <f>IF(ISBLANK(Diag_NRO_export!L2),"",Diag_NRO_export!L2)</f>
        <v>Oui</v>
      </c>
      <c r="L12" s="24" t="str">
        <f>IF(ISBLANK(Diag_NRO_export!M2),"",Diag_NRO_export!M2)</f>
        <v>Non</v>
      </c>
      <c r="M12" s="26">
        <f>IF(ISBLANK(Diag_NRO_export!J2),"",Diag_NRO_export!J2)</f>
        <v>80</v>
      </c>
      <c r="N12" s="23" t="str">
        <f>IF(ISBLANK(Diag_NRO_export!H2),"",Diag_NRO_export!H2)</f>
        <v>7Ø45</v>
      </c>
      <c r="O12" s="27" t="str">
        <f>IF(C12="","",VLOOKUP(N12,Diag_macro!$Q$2:$R$300,2,FALSE))</f>
        <v>Transport</v>
      </c>
      <c r="P12" s="23" t="str">
        <f>IF(ISBLANK(Diag_NRO_export!K2),"",Diag_NRO_export!K2)</f>
        <v>Orange</v>
      </c>
      <c r="Q12" s="23" t="str">
        <f>IF(ISBLANK(Diag_NRO_export!N2),"",Diag_NRO_export!N2)</f>
        <v>-</v>
      </c>
      <c r="R12" s="23" t="str">
        <f>IF(ISBLANK(Diag_NRO_export!O2),"",Diag_NRO_export!O2)</f>
        <v>-</v>
      </c>
      <c r="S12" s="24" t="str">
        <f>IF(ISBLANK(Diag_NRO_export!P2),"",Diag_NRO_export!P2)</f>
        <v>-</v>
      </c>
      <c r="T12" s="23" t="str">
        <f>IF(C12="","",VLOOKUP(N12,Diag_macro!$H$2:$I$300,2,FALSE))</f>
        <v>vert</v>
      </c>
      <c r="U12" s="86" t="str">
        <f>IF(C12="","",VLOOKUP(N12,Diag_macro!$N$2:$O$300,2,FALSE))</f>
        <v>Faible probabilité de saturation du réseau</v>
      </c>
      <c r="V12" s="87"/>
      <c r="W12" s="87"/>
      <c r="X12" s="87"/>
      <c r="Y12" s="87"/>
      <c r="Z12" s="88"/>
    </row>
    <row r="13" spans="2:26" x14ac:dyDescent="0.25">
      <c r="B13" s="28" t="str">
        <f>IF(ISBLANK(Diag_NRO_export!N3),"",Diag_NRO_export!N3)</f>
        <v>-</v>
      </c>
      <c r="C13" s="22">
        <f>IF(ISBLANK(Diag_NRO_export!A3),"",Diag_NRO_export!A3)</f>
        <v>44</v>
      </c>
      <c r="D13" s="23" t="str">
        <f>IF(ISBLANK(Diag_NRO_export!B3),"",Diag_NRO_export!B3)</f>
        <v>D2</v>
      </c>
      <c r="E13" s="23" t="str">
        <f>IF(ISBLANK(Diag_NRO_export!A3),"",VLOOKUP(Diag_NRO_export!C3,Diag_macro!$D$2:$E$6,2,FALSE))</f>
        <v>Chaussée</v>
      </c>
      <c r="F13" s="24" t="str">
        <f>IF(ISBLANK(Diag_NRO_export!A3),"",VLOOKUP(Diag_NRO_export!B3,Diag_macro!$A$2:$B$300,2,FALSE))</f>
        <v>&lt;40dcm3</v>
      </c>
      <c r="G13" s="22">
        <f>IF(ISBLANK(Diag_NRO_export!D3),"",Diag_NRO_export!D3)</f>
        <v>40</v>
      </c>
      <c r="H13" s="23" t="str">
        <f>IF(ISBLANK(Diag_NRO_export!E3),"",Diag_NRO_export!E3)</f>
        <v>OHN</v>
      </c>
      <c r="I13" s="23" t="str">
        <f>IF(ISBLANK(Diag_NRO_export!E3),"",VLOOKUP(Diag_NRO_export!F3,Diag_macro!$D$2:$E$6,2,FALSE))</f>
        <v>Chaussée</v>
      </c>
      <c r="J13" s="24" t="str">
        <f>IF(ISBLANK(Diag_NRO_export!E3),"",VLOOKUP(Diag_NRO_export!E3,Diag_macro!$A$2:$B$300,2,FALSE))</f>
        <v>-</v>
      </c>
      <c r="K13" s="25" t="str">
        <f>IF(ISBLANK(Diag_NRO_export!L3),"",Diag_NRO_export!L3)</f>
        <v>Non</v>
      </c>
      <c r="L13" s="24" t="str">
        <f>IF(ISBLANK(Diag_NRO_export!M3),"",Diag_NRO_export!M3)</f>
        <v>Non</v>
      </c>
      <c r="M13" s="26">
        <f>IF(ISBLANK(Diag_NRO_export!J3),"",Diag_NRO_export!J3)</f>
        <v>112</v>
      </c>
      <c r="N13" s="23" t="str">
        <f>IF(ISBLANK(Diag_NRO_export!H3),"",Diag_NRO_export!H3)</f>
        <v>2Ø60+2Ø45</v>
      </c>
      <c r="O13" s="27" t="str">
        <f>IF(C13="","",VLOOKUP(N13,Diag_macro!$Q$2:$R$300,2,FALSE))</f>
        <v>Transport</v>
      </c>
      <c r="P13" s="23" t="str">
        <f>IF(ISBLANK(Diag_NRO_export!K3),"",Diag_NRO_export!K3)</f>
        <v>Orange</v>
      </c>
      <c r="Q13" s="23" t="str">
        <f>IF(ISBLANK(Diag_NRO_export!N3),"",Diag_NRO_export!N3)</f>
        <v>-</v>
      </c>
      <c r="R13" s="23" t="str">
        <f>IF(ISBLANK(Diag_NRO_export!O3),"",Diag_NRO_export!O3)</f>
        <v>-</v>
      </c>
      <c r="S13" s="24" t="str">
        <f>IF(ISBLANK(Diag_NRO_export!P3),"",Diag_NRO_export!P3)</f>
        <v>-</v>
      </c>
      <c r="T13" s="23" t="str">
        <f>IF(C13="","",VLOOKUP(N13,Diag_macro!$H$2:$I$300,2,FALSE))</f>
        <v>vert</v>
      </c>
      <c r="U13" s="86" t="str">
        <f>IF(C13="","",VLOOKUP(N13,Diag_macro!$N$2:$O$300,2,FALSE))</f>
        <v>Faible probabilité de saturation du réseau</v>
      </c>
      <c r="V13" s="87"/>
      <c r="W13" s="87"/>
      <c r="X13" s="87"/>
      <c r="Y13" s="87"/>
      <c r="Z13" s="88"/>
    </row>
    <row r="14" spans="2:26" x14ac:dyDescent="0.25">
      <c r="B14" s="28" t="str">
        <f>IF(ISBLANK(Diag_NRO_export!N4),"",Diag_NRO_export!N4)</f>
        <v>-</v>
      </c>
      <c r="C14" s="22">
        <f>IF(ISBLANK(Diag_NRO_export!A4),"",Diag_NRO_export!A4)</f>
        <v>44</v>
      </c>
      <c r="D14" s="23" t="str">
        <f>IF(ISBLANK(Diag_NRO_export!B4),"",Diag_NRO_export!B4)</f>
        <v>D2</v>
      </c>
      <c r="E14" s="23" t="str">
        <f>IF(ISBLANK(Diag_NRO_export!A4),"",VLOOKUP(Diag_NRO_export!C4,Diag_macro!$D$2:$E$6,2,FALSE))</f>
        <v>Chaussée</v>
      </c>
      <c r="F14" s="24" t="str">
        <f>IF(ISBLANK(Diag_NRO_export!A4),"",VLOOKUP(Diag_NRO_export!B4,Diag_macro!$A$2:$B$300,2,FALSE))</f>
        <v>&lt;40dcm3</v>
      </c>
      <c r="G14" s="22">
        <f>IF(ISBLANK(Diag_NRO_export!D4),"",Diag_NRO_export!D4)</f>
        <v>43</v>
      </c>
      <c r="H14" s="23" t="str">
        <f>IF(ISBLANK(Diag_NRO_export!E4),"",Diag_NRO_export!E4)</f>
        <v>L0T</v>
      </c>
      <c r="I14" s="23" t="str">
        <f>IF(ISBLANK(Diag_NRO_export!E4),"",VLOOKUP(Diag_NRO_export!F4,Diag_macro!$D$2:$E$6,2,FALSE))</f>
        <v>Trottoir</v>
      </c>
      <c r="J14" s="24" t="str">
        <f>IF(ISBLANK(Diag_NRO_export!E4),"",VLOOKUP(Diag_NRO_export!E4,Diag_macro!$A$2:$B$300,2,FALSE))</f>
        <v>&lt;2dcm3</v>
      </c>
      <c r="K14" s="25" t="str">
        <f>IF(ISBLANK(Diag_NRO_export!L4),"",Diag_NRO_export!L4)</f>
        <v>Non</v>
      </c>
      <c r="L14" s="24" t="str">
        <f>IF(ISBLANK(Diag_NRO_export!M4),"",Diag_NRO_export!M4)</f>
        <v>Non</v>
      </c>
      <c r="M14" s="26">
        <f>IF(ISBLANK(Diag_NRO_export!J4),"",Diag_NRO_export!J4)</f>
        <v>26</v>
      </c>
      <c r="N14" s="23" t="str">
        <f>IF(ISBLANK(Diag_NRO_export!H4),"",Diag_NRO_export!H4)</f>
        <v>1Ø45</v>
      </c>
      <c r="O14" s="27" t="str">
        <f>IF(C14="","",VLOOKUP(N14,Diag_macro!$Q$2:$R$300,2,FALSE))</f>
        <v>Distribution</v>
      </c>
      <c r="P14" s="23" t="str">
        <f>IF(ISBLANK(Diag_NRO_export!K4),"",Diag_NRO_export!K4)</f>
        <v>Orange</v>
      </c>
      <c r="Q14" s="23" t="str">
        <f>IF(ISBLANK(Diag_NRO_export!N4),"",Diag_NRO_export!N4)</f>
        <v>-</v>
      </c>
      <c r="R14" s="23" t="str">
        <f>IF(ISBLANK(Diag_NRO_export!O4),"",Diag_NRO_export!O4)</f>
        <v>-</v>
      </c>
      <c r="S14" s="24" t="str">
        <f>IF(ISBLANK(Diag_NRO_export!P4),"",Diag_NRO_export!P4)</f>
        <v>-</v>
      </c>
      <c r="T14" s="23" t="str">
        <f>IF(C14="","",VLOOKUP(N14,Diag_macro!$H$2:$I$300,2,FALSE))</f>
        <v>rouge</v>
      </c>
      <c r="U14" s="86" t="str">
        <f>IF(C14="","",VLOOKUP(N14,Diag_macro!$N$2:$O$300,2,FALSE))</f>
        <v>Forte probabilité de saturation du réseau</v>
      </c>
      <c r="V14" s="87"/>
      <c r="W14" s="87"/>
      <c r="X14" s="87"/>
      <c r="Y14" s="87"/>
      <c r="Z14" s="88"/>
    </row>
    <row r="15" spans="2:26" x14ac:dyDescent="0.25">
      <c r="B15" s="28" t="str">
        <f>IF(ISBLANK(Diag_NRO_export!N5),"",Diag_NRO_export!N5)</f>
        <v>-</v>
      </c>
      <c r="C15" s="22">
        <f>IF(ISBLANK(Diag_NRO_export!A5),"",Diag_NRO_export!A5)</f>
        <v>44</v>
      </c>
      <c r="D15" s="23" t="str">
        <f>IF(ISBLANK(Diag_NRO_export!B5),"",Diag_NRO_export!B5)</f>
        <v>D2</v>
      </c>
      <c r="E15" s="23" t="str">
        <f>IF(ISBLANK(Diag_NRO_export!A5),"",VLOOKUP(Diag_NRO_export!C5,Diag_macro!$D$2:$E$6,2,FALSE))</f>
        <v>Chaussée</v>
      </c>
      <c r="F15" s="24" t="str">
        <f>IF(ISBLANK(Diag_NRO_export!A5),"",VLOOKUP(Diag_NRO_export!B5,Diag_macro!$A$2:$B$300,2,FALSE))</f>
        <v>&lt;40dcm3</v>
      </c>
      <c r="G15" s="22">
        <f>IF(ISBLANK(Diag_NRO_export!D5),"",Diag_NRO_export!D5)</f>
        <v>19</v>
      </c>
      <c r="H15" s="23" t="str">
        <f>IF(ISBLANK(Diag_NRO_export!E5),"",Diag_NRO_export!E5)</f>
        <v>M1C</v>
      </c>
      <c r="I15" s="23" t="str">
        <f>IF(ISBLANK(Diag_NRO_export!E5),"",VLOOKUP(Diag_NRO_export!F5,Diag_macro!$D$2:$E$6,2,FALSE))</f>
        <v>Chaussée</v>
      </c>
      <c r="J15" s="24" t="str">
        <f>IF(ISBLANK(Diag_NRO_export!E5),"",VLOOKUP(Diag_NRO_export!E5,Diag_macro!$A$2:$B$300,2,FALSE))</f>
        <v>&lt;40dcm3</v>
      </c>
      <c r="K15" s="25" t="str">
        <f>IF(ISBLANK(Diag_NRO_export!L5),"",Diag_NRO_export!L5)</f>
        <v>Non</v>
      </c>
      <c r="L15" s="24" t="str">
        <f>IF(ISBLANK(Diag_NRO_export!M5),"",Diag_NRO_export!M5)</f>
        <v>Non</v>
      </c>
      <c r="M15" s="26">
        <f>IF(ISBLANK(Diag_NRO_export!J5),"",Diag_NRO_export!J5)</f>
        <v>159</v>
      </c>
      <c r="N15" s="23" t="str">
        <f>IF(ISBLANK(Diag_NRO_export!H5),"",Diag_NRO_export!H5)</f>
        <v>7Ø45</v>
      </c>
      <c r="O15" s="27" t="str">
        <f>IF(C15="","",VLOOKUP(N15,Diag_macro!$Q$2:$R$300,2,FALSE))</f>
        <v>Transport</v>
      </c>
      <c r="P15" s="23" t="str">
        <f>IF(ISBLANK(Diag_NRO_export!K5),"",Diag_NRO_export!K5)</f>
        <v>Orange</v>
      </c>
      <c r="Q15" s="23" t="str">
        <f>IF(ISBLANK(Diag_NRO_export!N5),"",Diag_NRO_export!N5)</f>
        <v>-</v>
      </c>
      <c r="R15" s="23" t="str">
        <f>IF(ISBLANK(Diag_NRO_export!O5),"",Diag_NRO_export!O5)</f>
        <v>-</v>
      </c>
      <c r="S15" s="24" t="str">
        <f>IF(ISBLANK(Diag_NRO_export!P5),"",Diag_NRO_export!P5)</f>
        <v>-</v>
      </c>
      <c r="T15" s="23" t="str">
        <f>IF(C15="","",VLOOKUP(N15,Diag_macro!$H$2:$I$300,2,FALSE))</f>
        <v>vert</v>
      </c>
      <c r="U15" s="86" t="str">
        <f>IF(C15="","",VLOOKUP(N15,Diag_macro!$N$2:$O$300,2,FALSE))</f>
        <v>Faible probabilité de saturation du réseau</v>
      </c>
      <c r="V15" s="87"/>
      <c r="W15" s="87"/>
      <c r="X15" s="87"/>
      <c r="Y15" s="87"/>
      <c r="Z15" s="88"/>
    </row>
    <row r="16" spans="2:26" x14ac:dyDescent="0.25">
      <c r="B16" s="28" t="str">
        <f>IF(ISBLANK(Diag_NRO_export!N6),"",Diag_NRO_export!N6)</f>
        <v>-</v>
      </c>
      <c r="C16" s="22">
        <f>IF(ISBLANK(Diag_NRO_export!A6),"",Diag_NRO_export!A6)</f>
        <v>44</v>
      </c>
      <c r="D16" s="23" t="str">
        <f>IF(ISBLANK(Diag_NRO_export!B6),"",Diag_NRO_export!B6)</f>
        <v>D2</v>
      </c>
      <c r="E16" s="23" t="str">
        <f>IF(ISBLANK(Diag_NRO_export!A6),"",VLOOKUP(Diag_NRO_export!C6,Diag_macro!$D$2:$E$6,2,FALSE))</f>
        <v>Chaussée</v>
      </c>
      <c r="F16" s="24" t="str">
        <f>IF(ISBLANK(Diag_NRO_export!A6),"",VLOOKUP(Diag_NRO_export!B6,Diag_macro!$A$2:$B$300,2,FALSE))</f>
        <v>&lt;40dcm3</v>
      </c>
      <c r="G16" s="22">
        <f>IF(ISBLANK(Diag_NRO_export!D6),"",Diag_NRO_export!D6)</f>
        <v>20</v>
      </c>
      <c r="H16" s="23" t="str">
        <f>IF(ISBLANK(Diag_NRO_export!E6),"",Diag_NRO_export!E6)</f>
        <v>L0T</v>
      </c>
      <c r="I16" s="23" t="str">
        <f>IF(ISBLANK(Diag_NRO_export!E6),"",VLOOKUP(Diag_NRO_export!F6,Diag_macro!$D$2:$E$6,2,FALSE))</f>
        <v>Trottoir</v>
      </c>
      <c r="J16" s="24" t="str">
        <f>IF(ISBLANK(Diag_NRO_export!E6),"",VLOOKUP(Diag_NRO_export!E6,Diag_macro!$A$2:$B$300,2,FALSE))</f>
        <v>&lt;2dcm3</v>
      </c>
      <c r="K16" s="25" t="str">
        <f>IF(ISBLANK(Diag_NRO_export!L6),"",Diag_NRO_export!L6)</f>
        <v>Non</v>
      </c>
      <c r="L16" s="24" t="str">
        <f>IF(ISBLANK(Diag_NRO_export!M6),"",Diag_NRO_export!M6)</f>
        <v>Non</v>
      </c>
      <c r="M16" s="26">
        <f>IF(ISBLANK(Diag_NRO_export!J6),"",Diag_NRO_export!J6)</f>
        <v>19</v>
      </c>
      <c r="N16" s="23" t="str">
        <f>IF(ISBLANK(Diag_NRO_export!H6),"",Diag_NRO_export!H6)</f>
        <v>1Ø45</v>
      </c>
      <c r="O16" s="27" t="str">
        <f>IF(C16="","",VLOOKUP(N16,Diag_macro!$Q$2:$R$300,2,FALSE))</f>
        <v>Distribution</v>
      </c>
      <c r="P16" s="23" t="str">
        <f>IF(ISBLANK(Diag_NRO_export!K6),"",Diag_NRO_export!K6)</f>
        <v>Orange</v>
      </c>
      <c r="Q16" s="23" t="str">
        <f>IF(ISBLANK(Diag_NRO_export!N6),"",Diag_NRO_export!N6)</f>
        <v>-</v>
      </c>
      <c r="R16" s="23" t="str">
        <f>IF(ISBLANK(Diag_NRO_export!O6),"",Diag_NRO_export!O6)</f>
        <v>-</v>
      </c>
      <c r="S16" s="24" t="str">
        <f>IF(ISBLANK(Diag_NRO_export!P6),"",Diag_NRO_export!P6)</f>
        <v>-</v>
      </c>
      <c r="T16" s="23" t="str">
        <f>IF(C16="","",VLOOKUP(N16,Diag_macro!$H$2:$I$300,2,FALSE))</f>
        <v>rouge</v>
      </c>
      <c r="U16" s="86" t="str">
        <f>IF(C16="","",VLOOKUP(N16,Diag_macro!$N$2:$O$300,2,FALSE))</f>
        <v>Forte probabilité de saturation du réseau</v>
      </c>
      <c r="V16" s="87"/>
      <c r="W16" s="87"/>
      <c r="X16" s="87"/>
      <c r="Y16" s="87"/>
      <c r="Z16" s="88"/>
    </row>
    <row r="17" spans="2:26" x14ac:dyDescent="0.25">
      <c r="B17" s="28" t="str">
        <f>IF(ISBLANK(Diag_NRO_export!N7),"",Diag_NRO_export!N7)</f>
        <v>-</v>
      </c>
      <c r="C17" s="22">
        <f>IF(ISBLANK(Diag_NRO_export!A7),"",Diag_NRO_export!A7)</f>
        <v>40</v>
      </c>
      <c r="D17" s="23" t="str">
        <f>IF(ISBLANK(Diag_NRO_export!B7),"",Diag_NRO_export!B7)</f>
        <v>OHN</v>
      </c>
      <c r="E17" s="23" t="str">
        <f>IF(ISBLANK(Diag_NRO_export!A7),"",VLOOKUP(Diag_NRO_export!C7,Diag_macro!$D$2:$E$6,2,FALSE))</f>
        <v>Chaussée</v>
      </c>
      <c r="F17" s="24" t="str">
        <f>IF(ISBLANK(Diag_NRO_export!A7),"",VLOOKUP(Diag_NRO_export!B7,Diag_macro!$A$2:$B$55,2,FALSE))</f>
        <v>-</v>
      </c>
      <c r="G17" s="22">
        <f>IF(ISBLANK(Diag_NRO_export!D7),"",Diag_NRO_export!D7)</f>
        <v>42</v>
      </c>
      <c r="H17" s="23" t="str">
        <f>IF(ISBLANK(Diag_NRO_export!E7),"",Diag_NRO_export!E7)</f>
        <v>L0T</v>
      </c>
      <c r="I17" s="23" t="str">
        <f>IF(ISBLANK(Diag_NRO_export!E7),"",VLOOKUP(Diag_NRO_export!F7,Diag_macro!$D$2:$E$6,2,FALSE))</f>
        <v>Trottoir</v>
      </c>
      <c r="J17" s="24" t="str">
        <f>IF(ISBLANK(Diag_NRO_export!E7),"",VLOOKUP(Diag_NRO_export!E7,Diag_macro!$A$2:$B$300,2,FALSE))</f>
        <v>&lt;2dcm3</v>
      </c>
      <c r="K17" s="25" t="str">
        <f>IF(ISBLANK(Diag_NRO_export!L7),"",Diag_NRO_export!L7)</f>
        <v>Non</v>
      </c>
      <c r="L17" s="24" t="str">
        <f>IF(ISBLANK(Diag_NRO_export!M7),"",Diag_NRO_export!M7)</f>
        <v>Non</v>
      </c>
      <c r="M17" s="26">
        <f>IF(ISBLANK(Diag_NRO_export!J7),"",Diag_NRO_export!J7)</f>
        <v>24</v>
      </c>
      <c r="N17" s="23" t="str">
        <f>IF(ISBLANK(Diag_NRO_export!H7),"",Diag_NRO_export!H7)</f>
        <v>4Ø45</v>
      </c>
      <c r="O17" s="27" t="str">
        <f>IF(C17="","",VLOOKUP(N17,Diag_macro!$Q$2:$R$300,2,FALSE))</f>
        <v>Distribution</v>
      </c>
      <c r="P17" s="23" t="str">
        <f>IF(ISBLANK(Diag_NRO_export!K7),"",Diag_NRO_export!K7)</f>
        <v>Orange</v>
      </c>
      <c r="Q17" s="23" t="str">
        <f>IF(ISBLANK(Diag_NRO_export!N7),"",Diag_NRO_export!N7)</f>
        <v>-</v>
      </c>
      <c r="R17" s="23" t="str">
        <f>IF(ISBLANK(Diag_NRO_export!O7),"",Diag_NRO_export!O7)</f>
        <v>-</v>
      </c>
      <c r="S17" s="24" t="str">
        <f>IF(ISBLANK(Diag_NRO_export!P7),"",Diag_NRO_export!P7)</f>
        <v>-</v>
      </c>
      <c r="T17" s="23" t="str">
        <f>IF(C17="","",VLOOKUP(N17,Diag_macro!$H$2:$I$300,2,FALSE))</f>
        <v>jaune</v>
      </c>
      <c r="U17" s="86" t="str">
        <f>IF(C17="","",VLOOKUP(N17,Diag_macro!$N$2:$O$300,2,FALSE))</f>
        <v>Probabilité de saturation du réseau</v>
      </c>
      <c r="V17" s="87"/>
      <c r="W17" s="87"/>
      <c r="X17" s="87"/>
      <c r="Y17" s="87"/>
      <c r="Z17" s="88"/>
    </row>
    <row r="18" spans="2:26" x14ac:dyDescent="0.25">
      <c r="B18" s="28" t="str">
        <f>IF(ISBLANK(Diag_NRO_export!N8),"",Diag_NRO_export!N8)</f>
        <v>-</v>
      </c>
      <c r="C18" s="22">
        <f>IF(ISBLANK(Diag_NRO_export!A8),"",Diag_NRO_export!A8)</f>
        <v>40</v>
      </c>
      <c r="D18" s="23" t="str">
        <f>IF(ISBLANK(Diag_NRO_export!B8),"",Diag_NRO_export!B8)</f>
        <v>OHN</v>
      </c>
      <c r="E18" s="23" t="str">
        <f>IF(ISBLANK(Diag_NRO_export!A8),"",VLOOKUP(Diag_NRO_export!C8,Diag_macro!$D$2:$E$6,2,FALSE))</f>
        <v>Chaussée</v>
      </c>
      <c r="F18" s="24" t="str">
        <f>IF(ISBLANK(Diag_NRO_export!A8),"",VLOOKUP(Diag_NRO_export!B8,Diag_macro!$A$2:$B$55,2,FALSE))</f>
        <v>-</v>
      </c>
      <c r="G18" s="22">
        <f>IF(ISBLANK(Diag_NRO_export!D8),"",Diag_NRO_export!D8)</f>
        <v>46</v>
      </c>
      <c r="H18" s="23" t="str">
        <f>IF(ISBLANK(Diag_NRO_export!E8),"",Diag_NRO_export!E8)</f>
        <v>OHN</v>
      </c>
      <c r="I18" s="23" t="str">
        <f>IF(ISBLANK(Diag_NRO_export!E8),"",VLOOKUP(Diag_NRO_export!F8,Diag_macro!$D$2:$E$6,2,FALSE))</f>
        <v>Chaussée</v>
      </c>
      <c r="J18" s="24" t="str">
        <f>IF(ISBLANK(Diag_NRO_export!E8),"",VLOOKUP(Diag_NRO_export!E8,Diag_macro!$A$2:$B$300,2,FALSE))</f>
        <v>-</v>
      </c>
      <c r="K18" s="25" t="str">
        <f>IF(ISBLANK(Diag_NRO_export!L8),"",Diag_NRO_export!L8)</f>
        <v>Non</v>
      </c>
      <c r="L18" s="24" t="str">
        <f>IF(ISBLANK(Diag_NRO_export!M8),"",Diag_NRO_export!M8)</f>
        <v>Non</v>
      </c>
      <c r="M18" s="26">
        <f>IF(ISBLANK(Diag_NRO_export!J8),"",Diag_NRO_export!J8)</f>
        <v>96</v>
      </c>
      <c r="N18" s="23" t="str">
        <f>IF(ISBLANK(Diag_NRO_export!H8),"",Diag_NRO_export!H8)</f>
        <v>3Ø45</v>
      </c>
      <c r="O18" s="27" t="str">
        <f>IF(C18="","",VLOOKUP(N18,Diag_macro!$Q$2:$R$300,2,FALSE))</f>
        <v>Distribution</v>
      </c>
      <c r="P18" s="23" t="str">
        <f>IF(ISBLANK(Diag_NRO_export!K8),"",Diag_NRO_export!K8)</f>
        <v>Orange</v>
      </c>
      <c r="Q18" s="23" t="str">
        <f>IF(ISBLANK(Diag_NRO_export!N8),"",Diag_NRO_export!N8)</f>
        <v>-</v>
      </c>
      <c r="R18" s="23" t="str">
        <f>IF(ISBLANK(Diag_NRO_export!O8),"",Diag_NRO_export!O8)</f>
        <v>-</v>
      </c>
      <c r="S18" s="24" t="str">
        <f>IF(ISBLANK(Diag_NRO_export!P8),"",Diag_NRO_export!P8)</f>
        <v>-</v>
      </c>
      <c r="T18" s="23" t="str">
        <f>IF(C18="","",VLOOKUP(N18,Diag_macro!$H$2:$I$300,2,FALSE))</f>
        <v>jaune</v>
      </c>
      <c r="U18" s="86" t="str">
        <f>IF(C18="","",VLOOKUP(N18,Diag_macro!$N$2:$O$300,2,FALSE))</f>
        <v>Probabilité de saturation du réseau</v>
      </c>
      <c r="V18" s="87"/>
      <c r="W18" s="87"/>
      <c r="X18" s="87"/>
      <c r="Y18" s="87"/>
      <c r="Z18" s="88"/>
    </row>
    <row r="19" spans="2:26" x14ac:dyDescent="0.25">
      <c r="B19" s="28" t="str">
        <f>IF(ISBLANK(Diag_NRO_export!N9),"",Diag_NRO_export!N9)</f>
        <v>-</v>
      </c>
      <c r="C19" s="22">
        <f>IF(ISBLANK(Diag_NRO_export!A9),"",Diag_NRO_export!A9)</f>
        <v>40</v>
      </c>
      <c r="D19" s="23" t="str">
        <f>IF(ISBLANK(Diag_NRO_export!B9),"",Diag_NRO_export!B9)</f>
        <v>OHN</v>
      </c>
      <c r="E19" s="23" t="str">
        <f>IF(ISBLANK(Diag_NRO_export!A9),"",VLOOKUP(Diag_NRO_export!C9,Diag_macro!$D$2:$E$6,2,FALSE))</f>
        <v>Chaussée</v>
      </c>
      <c r="F19" s="24" t="str">
        <f>IF(ISBLANK(Diag_NRO_export!A9),"",VLOOKUP(Diag_NRO_export!B9,Diag_macro!$A$2:$B$55,2,FALSE))</f>
        <v>-</v>
      </c>
      <c r="G19" s="22">
        <f>IF(ISBLANK(Diag_NRO_export!D9),"",Diag_NRO_export!D9)</f>
        <v>41</v>
      </c>
      <c r="H19" s="23" t="str">
        <f>IF(ISBLANK(Diag_NRO_export!E9),"",Diag_NRO_export!E9)</f>
        <v>OHN</v>
      </c>
      <c r="I19" s="23" t="str">
        <f>IF(ISBLANK(Diag_NRO_export!E9),"",VLOOKUP(Diag_NRO_export!F9,Diag_macro!$D$2:$E$6,2,FALSE))</f>
        <v>Chaussée</v>
      </c>
      <c r="J19" s="24" t="str">
        <f>IF(ISBLANK(Diag_NRO_export!E9),"",VLOOKUP(Diag_NRO_export!E9,Diag_macro!$A$2:$B$300,2,FALSE))</f>
        <v>-</v>
      </c>
      <c r="K19" s="25" t="str">
        <f>IF(ISBLANK(Diag_NRO_export!L9),"",Diag_NRO_export!L9)</f>
        <v>Non</v>
      </c>
      <c r="L19" s="24" t="str">
        <f>IF(ISBLANK(Diag_NRO_export!M9),"",Diag_NRO_export!M9)</f>
        <v>Non</v>
      </c>
      <c r="M19" s="26">
        <f>IF(ISBLANK(Diag_NRO_export!J9),"",Diag_NRO_export!J9)</f>
        <v>40</v>
      </c>
      <c r="N19" s="23" t="str">
        <f>IF(ISBLANK(Diag_NRO_export!H9),"",Diag_NRO_export!H9)</f>
        <v>4Ø45</v>
      </c>
      <c r="O19" s="27" t="str">
        <f>IF(C19="","",VLOOKUP(N19,Diag_macro!$Q$2:$R$300,2,FALSE))</f>
        <v>Distribution</v>
      </c>
      <c r="P19" s="23" t="str">
        <f>IF(ISBLANK(Diag_NRO_export!K9),"",Diag_NRO_export!K9)</f>
        <v>Orange</v>
      </c>
      <c r="Q19" s="23" t="str">
        <f>IF(ISBLANK(Diag_NRO_export!N9),"",Diag_NRO_export!N9)</f>
        <v>-</v>
      </c>
      <c r="R19" s="23" t="str">
        <f>IF(ISBLANK(Diag_NRO_export!O9),"",Diag_NRO_export!O9)</f>
        <v>-</v>
      </c>
      <c r="S19" s="24" t="str">
        <f>IF(ISBLANK(Diag_NRO_export!P9),"",Diag_NRO_export!P9)</f>
        <v>-</v>
      </c>
      <c r="T19" s="23" t="str">
        <f>IF(C19="","",VLOOKUP(N19,Diag_macro!$H$2:$I$300,2,FALSE))</f>
        <v>jaune</v>
      </c>
      <c r="U19" s="70" t="str">
        <f>IF(C19="","",VLOOKUP(N19,Diag_macro!$N$2:$O$300,2,FALSE))</f>
        <v>Probabilité de saturation du réseau</v>
      </c>
      <c r="V19" s="70"/>
      <c r="W19" s="70"/>
      <c r="X19" s="70"/>
      <c r="Y19" s="70"/>
      <c r="Z19" s="71"/>
    </row>
    <row r="20" spans="2:26" x14ac:dyDescent="0.25">
      <c r="B20" s="28" t="str">
        <f>IF(ISBLANK(Diag_NRO_export!N10),"",Diag_NRO_export!N10)</f>
        <v>-</v>
      </c>
      <c r="C20" s="22">
        <f>IF(ISBLANK(Diag_NRO_export!A10),"",Diag_NRO_export!A10)</f>
        <v>40</v>
      </c>
      <c r="D20" s="23" t="str">
        <f>IF(ISBLANK(Diag_NRO_export!B10),"",Diag_NRO_export!B10)</f>
        <v>OHN</v>
      </c>
      <c r="E20" s="23" t="str">
        <f>IF(ISBLANK(Diag_NRO_export!A10),"",VLOOKUP(Diag_NRO_export!C10,Diag_macro!$D$2:$E$6,2,FALSE))</f>
        <v>Chaussée</v>
      </c>
      <c r="F20" s="24" t="str">
        <f>IF(ISBLANK(Diag_NRO_export!A10),"",VLOOKUP(Diag_NRO_export!B10,Diag_macro!$A$2:$B$55,2,FALSE))</f>
        <v>-</v>
      </c>
      <c r="G20" s="22">
        <f>IF(ISBLANK(Diag_NRO_export!D10),"",Diag_NRO_export!D10)</f>
        <v>24</v>
      </c>
      <c r="H20" s="23" t="str">
        <f>IF(ISBLANK(Diag_NRO_export!E10),"",Diag_NRO_export!E10)</f>
        <v>K2C</v>
      </c>
      <c r="I20" s="23" t="str">
        <f>IF(ISBLANK(Diag_NRO_export!E10),"",VLOOKUP(Diag_NRO_export!F10,Diag_macro!$D$2:$E$6,2,FALSE))</f>
        <v>Chaussée</v>
      </c>
      <c r="J20" s="24" t="str">
        <f>IF(ISBLANK(Diag_NRO_export!E10),"",VLOOKUP(Diag_NRO_export!E10,Diag_macro!$A$2:$B$300,2,FALSE))</f>
        <v>&lt;30dcm3</v>
      </c>
      <c r="K20" s="25" t="str">
        <f>IF(ISBLANK(Diag_NRO_export!L10),"",Diag_NRO_export!L10)</f>
        <v>Non</v>
      </c>
      <c r="L20" s="24" t="str">
        <f>IF(ISBLANK(Diag_NRO_export!M10),"",Diag_NRO_export!M10)</f>
        <v>Non</v>
      </c>
      <c r="M20" s="26">
        <f>IF(ISBLANK(Diag_NRO_export!J10),"",Diag_NRO_export!J10)</f>
        <v>248</v>
      </c>
      <c r="N20" s="23" t="str">
        <f>IF(ISBLANK(Diag_NRO_export!H10),"",Diag_NRO_export!H10)</f>
        <v>3Ø45</v>
      </c>
      <c r="O20" s="27" t="str">
        <f>IF(C20="","",VLOOKUP(N20,Diag_macro!$Q$2:$R$300,2,FALSE))</f>
        <v>Distribution</v>
      </c>
      <c r="P20" s="23" t="str">
        <f>IF(ISBLANK(Diag_NRO_export!K10),"",Diag_NRO_export!K10)</f>
        <v>Orange</v>
      </c>
      <c r="Q20" s="23" t="str">
        <f>IF(ISBLANK(Diag_NRO_export!N10),"",Diag_NRO_export!N10)</f>
        <v>-</v>
      </c>
      <c r="R20" s="23" t="str">
        <f>IF(ISBLANK(Diag_NRO_export!O10),"",Diag_NRO_export!O10)</f>
        <v>-</v>
      </c>
      <c r="S20" s="24" t="str">
        <f>IF(ISBLANK(Diag_NRO_export!P10),"",Diag_NRO_export!P10)</f>
        <v>-</v>
      </c>
      <c r="T20" s="23" t="str">
        <f>IF(C20="","",VLOOKUP(N20,Diag_macro!$H$2:$I$300,2,FALSE))</f>
        <v>jaune</v>
      </c>
      <c r="U20" s="70" t="str">
        <f>IF(C20="","",VLOOKUP(N20,Diag_macro!$N$2:$O$300,2,FALSE))</f>
        <v>Probabilité de saturation du réseau</v>
      </c>
      <c r="V20" s="70"/>
      <c r="W20" s="70"/>
      <c r="X20" s="70"/>
      <c r="Y20" s="70"/>
      <c r="Z20" s="71"/>
    </row>
    <row r="21" spans="2:26" x14ac:dyDescent="0.25">
      <c r="B21" s="28" t="str">
        <f>IF(ISBLANK(Diag_NRO_export!N11),"",Diag_NRO_export!N11)</f>
        <v>-</v>
      </c>
      <c r="C21" s="22">
        <f>IF(ISBLANK(Diag_NRO_export!A11),"",Diag_NRO_export!A11)</f>
        <v>40</v>
      </c>
      <c r="D21" s="23" t="str">
        <f>IF(ISBLANK(Diag_NRO_export!B11),"",Diag_NRO_export!B11)</f>
        <v>OHN</v>
      </c>
      <c r="E21" s="23" t="str">
        <f>IF(ISBLANK(Diag_NRO_export!A11),"",VLOOKUP(Diag_NRO_export!C11,Diag_macro!$D$2:$E$6,2,FALSE))</f>
        <v>Chaussée</v>
      </c>
      <c r="F21" s="24" t="str">
        <f>IF(ISBLANK(Diag_NRO_export!A11),"",VLOOKUP(Diag_NRO_export!B11,Diag_macro!$A$2:$B$55,2,FALSE))</f>
        <v>-</v>
      </c>
      <c r="G21" s="22">
        <f>IF(ISBLANK(Diag_NRO_export!D11),"",Diag_NRO_export!D11)</f>
        <v>47</v>
      </c>
      <c r="H21" s="23" t="str">
        <f>IF(ISBLANK(Diag_NRO_export!E11),"",Diag_NRO_export!E11)</f>
        <v>L0T</v>
      </c>
      <c r="I21" s="23" t="str">
        <f>IF(ISBLANK(Diag_NRO_export!E11),"",VLOOKUP(Diag_NRO_export!F11,Diag_macro!$D$2:$E$6,2,FALSE))</f>
        <v>Trottoir</v>
      </c>
      <c r="J21" s="24" t="str">
        <f>IF(ISBLANK(Diag_NRO_export!E11),"",VLOOKUP(Diag_NRO_export!E11,Diag_macro!$A$2:$B$300,2,FALSE))</f>
        <v>&lt;2dcm3</v>
      </c>
      <c r="K21" s="25" t="str">
        <f>IF(ISBLANK(Diag_NRO_export!L11),"",Diag_NRO_export!L11)</f>
        <v>Non</v>
      </c>
      <c r="L21" s="24" t="str">
        <f>IF(ISBLANK(Diag_NRO_export!M11),"",Diag_NRO_export!M11)</f>
        <v>Non</v>
      </c>
      <c r="M21" s="26">
        <f>IF(ISBLANK(Diag_NRO_export!J11),"",Diag_NRO_export!J11)</f>
        <v>46</v>
      </c>
      <c r="N21" s="23" t="str">
        <f>IF(ISBLANK(Diag_NRO_export!H11),"",Diag_NRO_export!H11)</f>
        <v>1Ø45</v>
      </c>
      <c r="O21" s="27" t="str">
        <f>IF(C21="","",VLOOKUP(N21,Diag_macro!$Q$2:$R$300,2,FALSE))</f>
        <v>Distribution</v>
      </c>
      <c r="P21" s="23" t="str">
        <f>IF(ISBLANK(Diag_NRO_export!K11),"",Diag_NRO_export!K11)</f>
        <v>Orange</v>
      </c>
      <c r="Q21" s="23" t="str">
        <f>IF(ISBLANK(Diag_NRO_export!N11),"",Diag_NRO_export!N11)</f>
        <v>-</v>
      </c>
      <c r="R21" s="23" t="str">
        <f>IF(ISBLANK(Diag_NRO_export!O11),"",Diag_NRO_export!O11)</f>
        <v>-</v>
      </c>
      <c r="S21" s="24" t="str">
        <f>IF(ISBLANK(Diag_NRO_export!P11),"",Diag_NRO_export!P11)</f>
        <v>-</v>
      </c>
      <c r="T21" s="23" t="str">
        <f>IF(C21="","",VLOOKUP(N21,Diag_macro!$H$2:$I$300,2,FALSE))</f>
        <v>rouge</v>
      </c>
      <c r="U21" s="70" t="str">
        <f>IF(C21="","",VLOOKUP(N21,Diag_macro!$N$2:$O$300,2,FALSE))</f>
        <v>Forte probabilité de saturation du réseau</v>
      </c>
      <c r="V21" s="70"/>
      <c r="W21" s="70"/>
      <c r="X21" s="70"/>
      <c r="Y21" s="70"/>
      <c r="Z21" s="71"/>
    </row>
    <row r="22" spans="2:26" x14ac:dyDescent="0.25">
      <c r="B22" s="28" t="str">
        <f>IF(ISBLANK(Diag_NRO_export!N12),"",Diag_NRO_export!N12)</f>
        <v>-</v>
      </c>
      <c r="C22" s="22">
        <f>IF(ISBLANK(Diag_NRO_export!A12),"",Diag_NRO_export!A12)</f>
        <v>40</v>
      </c>
      <c r="D22" s="23" t="str">
        <f>IF(ISBLANK(Diag_NRO_export!B12),"",Diag_NRO_export!B12)</f>
        <v>OHN</v>
      </c>
      <c r="E22" s="23" t="str">
        <f>IF(ISBLANK(Diag_NRO_export!A12),"",VLOOKUP(Diag_NRO_export!C12,Diag_macro!$D$2:$E$6,2,FALSE))</f>
        <v>Chaussée</v>
      </c>
      <c r="F22" s="24" t="str">
        <f>IF(ISBLANK(Diag_NRO_export!A12),"",VLOOKUP(Diag_NRO_export!B12,Diag_macro!$A$2:$B$55,2,FALSE))</f>
        <v>-</v>
      </c>
      <c r="G22" s="22">
        <f>IF(ISBLANK(Diag_NRO_export!D12),"",Diag_NRO_export!D12)</f>
        <v>66</v>
      </c>
      <c r="H22" s="23" t="str">
        <f>IF(ISBLANK(Diag_NRO_export!E12),"",Diag_NRO_export!E12)</f>
        <v>L0T</v>
      </c>
      <c r="I22" s="23" t="str">
        <f>IF(ISBLANK(Diag_NRO_export!E12),"",VLOOKUP(Diag_NRO_export!F12,Diag_macro!$D$2:$E$6,2,FALSE))</f>
        <v>Trottoir</v>
      </c>
      <c r="J22" s="24" t="str">
        <f>IF(ISBLANK(Diag_NRO_export!E12),"",VLOOKUP(Diag_NRO_export!E12,Diag_macro!$A$2:$B$300,2,FALSE))</f>
        <v>&lt;2dcm3</v>
      </c>
      <c r="K22" s="25" t="str">
        <f>IF(ISBLANK(Diag_NRO_export!L12),"",Diag_NRO_export!L12)</f>
        <v>Non</v>
      </c>
      <c r="L22" s="24" t="str">
        <f>IF(ISBLANK(Diag_NRO_export!M12),"",Diag_NRO_export!M12)</f>
        <v>Non</v>
      </c>
      <c r="M22" s="26">
        <f>IF(ISBLANK(Diag_NRO_export!J12),"",Diag_NRO_export!J12)</f>
        <v>520</v>
      </c>
      <c r="N22" s="23" t="str">
        <f>IF(ISBLANK(Diag_NRO_export!H12),"",Diag_NRO_export!H12)</f>
        <v>3Ø45</v>
      </c>
      <c r="O22" s="27" t="str">
        <f>IF(C22="","",VLOOKUP(N22,Diag_macro!$Q$2:$R$300,2,FALSE))</f>
        <v>Distribution</v>
      </c>
      <c r="P22" s="23" t="str">
        <f>IF(ISBLANK(Diag_NRO_export!K12),"",Diag_NRO_export!K12)</f>
        <v>Orange</v>
      </c>
      <c r="Q22" s="23" t="str">
        <f>IF(ISBLANK(Diag_NRO_export!N12),"",Diag_NRO_export!N12)</f>
        <v>-</v>
      </c>
      <c r="R22" s="23" t="str">
        <f>IF(ISBLANK(Diag_NRO_export!O12),"",Diag_NRO_export!O12)</f>
        <v>-</v>
      </c>
      <c r="S22" s="24" t="str">
        <f>IF(ISBLANK(Diag_NRO_export!P12),"",Diag_NRO_export!P12)</f>
        <v>-</v>
      </c>
      <c r="T22" s="23" t="str">
        <f>IF(C22="","",VLOOKUP(N22,Diag_macro!$H$2:$I$300,2,FALSE))</f>
        <v>jaune</v>
      </c>
      <c r="U22" s="70" t="str">
        <f>IF(C22="","",VLOOKUP(N22,Diag_macro!$N$2:$O$300,2,FALSE))</f>
        <v>Probabilité de saturation du réseau</v>
      </c>
      <c r="V22" s="70"/>
      <c r="W22" s="70"/>
      <c r="X22" s="70"/>
      <c r="Y22" s="70"/>
      <c r="Z22" s="71"/>
    </row>
    <row r="23" spans="2:26" x14ac:dyDescent="0.25">
      <c r="B23" s="28" t="str">
        <f>IF(ISBLANK(Diag_NRO_export!N13),"",Diag_NRO_export!N13)</f>
        <v>-</v>
      </c>
      <c r="C23" s="22">
        <f>IF(ISBLANK(Diag_NRO_export!A13),"",Diag_NRO_export!A13)</f>
        <v>50</v>
      </c>
      <c r="D23" s="23" t="str">
        <f>IF(ISBLANK(Diag_NRO_export!B13),"",Diag_NRO_export!B13)</f>
        <v>M1C</v>
      </c>
      <c r="E23" s="23" t="str">
        <f>IF(ISBLANK(Diag_NRO_export!A13),"",VLOOKUP(Diag_NRO_export!C13,Diag_macro!$D$2:$E$6,2,FALSE))</f>
        <v>Chaussée</v>
      </c>
      <c r="F23" s="24" t="str">
        <f>IF(ISBLANK(Diag_NRO_export!A13),"",VLOOKUP(Diag_NRO_export!B13,Diag_macro!$A$2:$B$55,2,FALSE))</f>
        <v>&lt;40dcm3</v>
      </c>
      <c r="G23" s="22">
        <f>IF(ISBLANK(Diag_NRO_export!D13),"",Diag_NRO_export!D13)</f>
        <v>49</v>
      </c>
      <c r="H23" s="23" t="str">
        <f>IF(ISBLANK(Diag_NRO_export!E13),"",Diag_NRO_export!E13)</f>
        <v>L3T</v>
      </c>
      <c r="I23" s="23" t="str">
        <f>IF(ISBLANK(Diag_NRO_export!E13),"",VLOOKUP(Diag_NRO_export!F13,Diag_macro!$D$2:$E$6,2,FALSE))</f>
        <v>Trottoir</v>
      </c>
      <c r="J23" s="24" t="str">
        <f>IF(ISBLANK(Diag_NRO_export!E13),"",VLOOKUP(Diag_NRO_export!E13,Diag_macro!$A$2:$B$300,2,FALSE))</f>
        <v>&lt;30dcm3</v>
      </c>
      <c r="K23" s="25" t="str">
        <f>IF(ISBLANK(Diag_NRO_export!L13),"",Diag_NRO_export!L13)</f>
        <v>Non</v>
      </c>
      <c r="L23" s="24" t="str">
        <f>IF(ISBLANK(Diag_NRO_export!M13),"",Diag_NRO_export!M13)</f>
        <v>Non</v>
      </c>
      <c r="M23" s="26">
        <f>IF(ISBLANK(Diag_NRO_export!J13),"",Diag_NRO_export!J13)</f>
        <v>60</v>
      </c>
      <c r="N23" s="23" t="str">
        <f>IF(ISBLANK(Diag_NRO_export!H13),"",Diag_NRO_export!H13)</f>
        <v>7Ø45</v>
      </c>
      <c r="O23" s="27" t="str">
        <f>IF(C23="","",VLOOKUP(N23,Diag_macro!$Q$2:$R$300,2,FALSE))</f>
        <v>Transport</v>
      </c>
      <c r="P23" s="23" t="str">
        <f>IF(ISBLANK(Diag_NRO_export!K13),"",Diag_NRO_export!K13)</f>
        <v>Orange</v>
      </c>
      <c r="Q23" s="23" t="str">
        <f>IF(ISBLANK(Diag_NRO_export!N13),"",Diag_NRO_export!N13)</f>
        <v>-</v>
      </c>
      <c r="R23" s="23" t="str">
        <f>IF(ISBLANK(Diag_NRO_export!O13),"",Diag_NRO_export!O13)</f>
        <v>-</v>
      </c>
      <c r="S23" s="24" t="str">
        <f>IF(ISBLANK(Diag_NRO_export!P13),"",Diag_NRO_export!P13)</f>
        <v>-</v>
      </c>
      <c r="T23" s="23" t="str">
        <f>IF(C23="","",VLOOKUP(N23,Diag_macro!$H$2:$I$300,2,FALSE))</f>
        <v>vert</v>
      </c>
      <c r="U23" s="70" t="str">
        <f>IF(C23="","",VLOOKUP(N23,Diag_macro!$N$2:$O$300,2,FALSE))</f>
        <v>Faible probabilité de saturation du réseau</v>
      </c>
      <c r="V23" s="70"/>
      <c r="W23" s="70"/>
      <c r="X23" s="70"/>
      <c r="Y23" s="70"/>
      <c r="Z23" s="71"/>
    </row>
    <row r="24" spans="2:26" x14ac:dyDescent="0.25">
      <c r="B24" s="28" t="str">
        <f>IF(ISBLANK(Diag_NRO_export!N14),"",Diag_NRO_export!N14)</f>
        <v>-</v>
      </c>
      <c r="C24" s="22">
        <f>IF(ISBLANK(Diag_NRO_export!A14),"",Diag_NRO_export!A14)</f>
        <v>50</v>
      </c>
      <c r="D24" s="23" t="str">
        <f>IF(ISBLANK(Diag_NRO_export!B14),"",Diag_NRO_export!B14)</f>
        <v>M1C</v>
      </c>
      <c r="E24" s="23" t="str">
        <f>IF(ISBLANK(Diag_NRO_export!A14),"",VLOOKUP(Diag_NRO_export!C14,Diag_macro!$D$2:$E$6,2,FALSE))</f>
        <v>Chaussée</v>
      </c>
      <c r="F24" s="24" t="str">
        <f>IF(ISBLANK(Diag_NRO_export!A14),"",VLOOKUP(Diag_NRO_export!B14,Diag_macro!$A$2:$B$55,2,FALSE))</f>
        <v>&lt;40dcm3</v>
      </c>
      <c r="G24" s="22">
        <f>IF(ISBLANK(Diag_NRO_export!D14),"",Diag_NRO_export!D14)</f>
        <v>55</v>
      </c>
      <c r="H24" s="23" t="str">
        <f>IF(ISBLANK(Diag_NRO_export!E14),"",Diag_NRO_export!E14)</f>
        <v>M1C</v>
      </c>
      <c r="I24" s="23" t="str">
        <f>IF(ISBLANK(Diag_NRO_export!E14),"",VLOOKUP(Diag_NRO_export!F14,Diag_macro!$D$2:$E$6,2,FALSE))</f>
        <v>Chaussée</v>
      </c>
      <c r="J24" s="24" t="str">
        <f>IF(ISBLANK(Diag_NRO_export!E14),"",VLOOKUP(Diag_NRO_export!E14,Diag_macro!$A$2:$B$300,2,FALSE))</f>
        <v>&lt;40dcm3</v>
      </c>
      <c r="K24" s="25" t="str">
        <f>IF(ISBLANK(Diag_NRO_export!L14),"",Diag_NRO_export!L14)</f>
        <v>Non</v>
      </c>
      <c r="L24" s="24" t="str">
        <f>IF(ISBLANK(Diag_NRO_export!M14),"",Diag_NRO_export!M14)</f>
        <v>Non</v>
      </c>
      <c r="M24" s="26">
        <f>IF(ISBLANK(Diag_NRO_export!J14),"",Diag_NRO_export!J14)</f>
        <v>18</v>
      </c>
      <c r="N24" s="23" t="str">
        <f>IF(ISBLANK(Diag_NRO_export!H14),"",Diag_NRO_export!H14)</f>
        <v>9Ø77/80</v>
      </c>
      <c r="O24" s="27" t="str">
        <f>IF(C24="","",VLOOKUP(N24,Diag_macro!$Q$2:$R$300,2,FALSE))</f>
        <v>Transport</v>
      </c>
      <c r="P24" s="23" t="str">
        <f>IF(ISBLANK(Diag_NRO_export!K14),"",Diag_NRO_export!K14)</f>
        <v>Orange</v>
      </c>
      <c r="Q24" s="23" t="str">
        <f>IF(ISBLANK(Diag_NRO_export!N14),"",Diag_NRO_export!N14)</f>
        <v>-</v>
      </c>
      <c r="R24" s="23" t="str">
        <f>IF(ISBLANK(Diag_NRO_export!O14),"",Diag_NRO_export!O14)</f>
        <v>-</v>
      </c>
      <c r="S24" s="24" t="str">
        <f>IF(ISBLANK(Diag_NRO_export!P14),"",Diag_NRO_export!P14)</f>
        <v>-</v>
      </c>
      <c r="T24" s="23" t="str">
        <f>IF(C24="","",VLOOKUP(N24,Diag_macro!$H$2:$I$300,2,FALSE))</f>
        <v>vert</v>
      </c>
      <c r="U24" s="70" t="str">
        <f>IF(C24="","",VLOOKUP(N24,Diag_macro!$N$2:$O$300,2,FALSE))</f>
        <v>Faible probabilité de saturation du réseau</v>
      </c>
      <c r="V24" s="70"/>
      <c r="W24" s="70"/>
      <c r="X24" s="70"/>
      <c r="Y24" s="70"/>
      <c r="Z24" s="71"/>
    </row>
    <row r="25" spans="2:26" x14ac:dyDescent="0.25">
      <c r="B25" s="28" t="str">
        <f>IF(ISBLANK(Diag_NRO_export!N15),"",Diag_NRO_export!N15)</f>
        <v>-</v>
      </c>
      <c r="C25" s="22">
        <f>IF(ISBLANK(Diag_NRO_export!A15),"",Diag_NRO_export!A15)</f>
        <v>19</v>
      </c>
      <c r="D25" s="23" t="str">
        <f>IF(ISBLANK(Diag_NRO_export!B15),"",Diag_NRO_export!B15)</f>
        <v>M1C</v>
      </c>
      <c r="E25" s="23" t="str">
        <f>IF(ISBLANK(Diag_NRO_export!A15),"",VLOOKUP(Diag_NRO_export!C15,Diag_macro!$D$2:$E$6,2,FALSE))</f>
        <v>Chaussée</v>
      </c>
      <c r="F25" s="24" t="str">
        <f>IF(ISBLANK(Diag_NRO_export!A15),"",VLOOKUP(Diag_NRO_export!B15,Diag_macro!$A$2:$B$55,2,FALSE))</f>
        <v>&lt;40dcm3</v>
      </c>
      <c r="G25" s="22">
        <f>IF(ISBLANK(Diag_NRO_export!D15),"",Diag_NRO_export!D15)</f>
        <v>18</v>
      </c>
      <c r="H25" s="23" t="str">
        <f>IF(ISBLANK(Diag_NRO_export!E15),"",Diag_NRO_export!E15)</f>
        <v>M1C</v>
      </c>
      <c r="I25" s="23" t="str">
        <f>IF(ISBLANK(Diag_NRO_export!E15),"",VLOOKUP(Diag_NRO_export!F15,Diag_macro!$D$2:$E$6,2,FALSE))</f>
        <v>Chaussée</v>
      </c>
      <c r="J25" s="24" t="str">
        <f>IF(ISBLANK(Diag_NRO_export!E15),"",VLOOKUP(Diag_NRO_export!E15,Diag_macro!$A$2:$B$300,2,FALSE))</f>
        <v>&lt;40dcm3</v>
      </c>
      <c r="K25" s="25" t="str">
        <f>IF(ISBLANK(Diag_NRO_export!L15),"",Diag_NRO_export!L15)</f>
        <v>Non</v>
      </c>
      <c r="L25" s="24" t="str">
        <f>IF(ISBLANK(Diag_NRO_export!M15),"",Diag_NRO_export!M15)</f>
        <v>Non</v>
      </c>
      <c r="M25" s="26">
        <f>IF(ISBLANK(Diag_NRO_export!J15),"",Diag_NRO_export!J15)</f>
        <v>90</v>
      </c>
      <c r="N25" s="23" t="str">
        <f>IF(ISBLANK(Diag_NRO_export!H15),"",Diag_NRO_export!H15)</f>
        <v>7Ø45</v>
      </c>
      <c r="O25" s="27" t="str">
        <f>IF(C25="","",VLOOKUP(N25,Diag_macro!$Q$2:$R$300,2,FALSE))</f>
        <v>Transport</v>
      </c>
      <c r="P25" s="23" t="str">
        <f>IF(ISBLANK(Diag_NRO_export!K15),"",Diag_NRO_export!K15)</f>
        <v>Orange</v>
      </c>
      <c r="Q25" s="23" t="str">
        <f>IF(ISBLANK(Diag_NRO_export!N15),"",Diag_NRO_export!N15)</f>
        <v>-</v>
      </c>
      <c r="R25" s="23" t="str">
        <f>IF(ISBLANK(Diag_NRO_export!O15),"",Diag_NRO_export!O15)</f>
        <v>-</v>
      </c>
      <c r="S25" s="24" t="str">
        <f>IF(ISBLANK(Diag_NRO_export!P15),"",Diag_NRO_export!P15)</f>
        <v>-</v>
      </c>
      <c r="T25" s="23" t="str">
        <f>IF(C25="","",VLOOKUP(N25,Diag_macro!$H$2:$I$300,2,FALSE))</f>
        <v>vert</v>
      </c>
      <c r="U25" s="70" t="str">
        <f>IF(C25="","",VLOOKUP(N25,Diag_macro!$N$2:$O$300,2,FALSE))</f>
        <v>Faible probabilité de saturation du réseau</v>
      </c>
      <c r="V25" s="70"/>
      <c r="W25" s="70"/>
      <c r="X25" s="70"/>
      <c r="Y25" s="70"/>
      <c r="Z25" s="71"/>
    </row>
    <row r="26" spans="2:26" x14ac:dyDescent="0.25">
      <c r="B26" s="28" t="str">
        <f>IF(ISBLANK(Diag_NRO_export!N16),"",Diag_NRO_export!N16)</f>
        <v>-</v>
      </c>
      <c r="C26" s="22">
        <f>IF(ISBLANK(Diag_NRO_export!A16),"",Diag_NRO_export!A16)</f>
        <v>46</v>
      </c>
      <c r="D26" s="23" t="str">
        <f>IF(ISBLANK(Diag_NRO_export!B16),"",Diag_NRO_export!B16)</f>
        <v>OHN</v>
      </c>
      <c r="E26" s="23" t="str">
        <f>IF(ISBLANK(Diag_NRO_export!A16),"",VLOOKUP(Diag_NRO_export!C16,Diag_macro!$D$2:$E$6,2,FALSE))</f>
        <v>Chaussée</v>
      </c>
      <c r="F26" s="24" t="str">
        <f>IF(ISBLANK(Diag_NRO_export!A16),"",VLOOKUP(Diag_NRO_export!B16,Diag_macro!$A$2:$B$55,2,FALSE))</f>
        <v>-</v>
      </c>
      <c r="G26" s="22">
        <f>IF(ISBLANK(Diag_NRO_export!D16),"",Diag_NRO_export!D16)</f>
        <v>26</v>
      </c>
      <c r="H26" s="23" t="str">
        <f>IF(ISBLANK(Diag_NRO_export!E16),"",Diag_NRO_export!E16)</f>
        <v>L0T</v>
      </c>
      <c r="I26" s="23" t="str">
        <f>IF(ISBLANK(Diag_NRO_export!E16),"",VLOOKUP(Diag_NRO_export!F16,Diag_macro!$D$2:$E$6,2,FALSE))</f>
        <v>Trottoir</v>
      </c>
      <c r="J26" s="24" t="str">
        <f>IF(ISBLANK(Diag_NRO_export!E16),"",VLOOKUP(Diag_NRO_export!E16,Diag_macro!$A$2:$B$300,2,FALSE))</f>
        <v>&lt;2dcm3</v>
      </c>
      <c r="K26" s="25" t="str">
        <f>IF(ISBLANK(Diag_NRO_export!L16),"",Diag_NRO_export!L16)</f>
        <v>Non</v>
      </c>
      <c r="L26" s="24" t="str">
        <f>IF(ISBLANK(Diag_NRO_export!M16),"",Diag_NRO_export!M16)</f>
        <v>Non</v>
      </c>
      <c r="M26" s="26">
        <f>IF(ISBLANK(Diag_NRO_export!J16),"",Diag_NRO_export!J16)</f>
        <v>20</v>
      </c>
      <c r="N26" s="23" t="str">
        <f>IF(ISBLANK(Diag_NRO_export!H16),"",Diag_NRO_export!H16)</f>
        <v>2Ø45</v>
      </c>
      <c r="O26" s="27" t="str">
        <f>IF(C26="","",VLOOKUP(N26,Diag_macro!$Q$2:$R$300,2,FALSE))</f>
        <v>Distribution</v>
      </c>
      <c r="P26" s="23" t="str">
        <f>IF(ISBLANK(Diag_NRO_export!K16),"",Diag_NRO_export!K16)</f>
        <v>Orange</v>
      </c>
      <c r="Q26" s="23" t="str">
        <f>IF(ISBLANK(Diag_NRO_export!N16),"",Diag_NRO_export!N16)</f>
        <v>-</v>
      </c>
      <c r="R26" s="23" t="str">
        <f>IF(ISBLANK(Diag_NRO_export!O16),"",Diag_NRO_export!O16)</f>
        <v>-</v>
      </c>
      <c r="S26" s="24" t="str">
        <f>IF(ISBLANK(Diag_NRO_export!P16),"",Diag_NRO_export!P16)</f>
        <v>-</v>
      </c>
      <c r="T26" s="23" t="str">
        <f>IF(C26="","",VLOOKUP(N26,Diag_macro!$H$2:$I$300,2,FALSE))</f>
        <v>rouge</v>
      </c>
      <c r="U26" s="70" t="str">
        <f>IF(C26="","",VLOOKUP(N26,Diag_macro!$N$2:$O$300,2,FALSE))</f>
        <v>Forte probabilité de saturation du réseau</v>
      </c>
      <c r="V26" s="70"/>
      <c r="W26" s="70"/>
      <c r="X26" s="70"/>
      <c r="Y26" s="70"/>
      <c r="Z26" s="71"/>
    </row>
    <row r="27" spans="2:26" x14ac:dyDescent="0.25">
      <c r="B27" s="28" t="str">
        <f>IF(ISBLANK(Diag_NRO_export!N17),"",Diag_NRO_export!N17)</f>
        <v>-</v>
      </c>
      <c r="C27" s="22">
        <f>IF(ISBLANK(Diag_NRO_export!A17),"",Diag_NRO_export!A17)</f>
        <v>46</v>
      </c>
      <c r="D27" s="23" t="str">
        <f>IF(ISBLANK(Diag_NRO_export!B17),"",Diag_NRO_export!B17)</f>
        <v>OHN</v>
      </c>
      <c r="E27" s="23" t="str">
        <f>IF(ISBLANK(Diag_NRO_export!A17),"",VLOOKUP(Diag_NRO_export!C17,Diag_macro!$D$2:$E$6,2,FALSE))</f>
        <v>Chaussée</v>
      </c>
      <c r="F27" s="24" t="str">
        <f>IF(ISBLANK(Diag_NRO_export!A17),"",VLOOKUP(Diag_NRO_export!B17,Diag_macro!$A$2:$B$55,2,FALSE))</f>
        <v>-</v>
      </c>
      <c r="G27" s="22">
        <f>IF(ISBLANK(Diag_NRO_export!D17),"",Diag_NRO_export!D17)</f>
        <v>24</v>
      </c>
      <c r="H27" s="23" t="str">
        <f>IF(ISBLANK(Diag_NRO_export!E17),"",Diag_NRO_export!E17)</f>
        <v>K2C</v>
      </c>
      <c r="I27" s="23" t="str">
        <f>IF(ISBLANK(Diag_NRO_export!E17),"",VLOOKUP(Diag_NRO_export!F17,Diag_macro!$D$2:$E$6,2,FALSE))</f>
        <v>Chaussée</v>
      </c>
      <c r="J27" s="56" t="str">
        <f>IF(ISBLANK(Diag_NRO_export!E17),"",VLOOKUP(Diag_NRO_export!E17,Diag_macro!$A$2:$B$300,2,FALSE))</f>
        <v>&lt;30dcm3</v>
      </c>
      <c r="K27" s="25" t="str">
        <f>IF(ISBLANK(Diag_NRO_export!L17),"",Diag_NRO_export!L17)</f>
        <v>Non</v>
      </c>
      <c r="L27" s="24" t="str">
        <f>IF(ISBLANK(Diag_NRO_export!M17),"",Diag_NRO_export!M17)</f>
        <v>Non</v>
      </c>
      <c r="M27" s="26">
        <f>IF(ISBLANK(Diag_NRO_export!J17),"",Diag_NRO_export!J17)</f>
        <v>154</v>
      </c>
      <c r="N27" s="23" t="str">
        <f>IF(ISBLANK(Diag_NRO_export!H17),"",Diag_NRO_export!H17)</f>
        <v>3Ø45</v>
      </c>
      <c r="O27" s="27" t="str">
        <f>IF(C27="","",VLOOKUP(N27,Diag_macro!$Q$2:$R$300,2,FALSE))</f>
        <v>Distribution</v>
      </c>
      <c r="P27" s="23" t="str">
        <f>IF(ISBLANK(Diag_NRO_export!K17),"",Diag_NRO_export!K17)</f>
        <v>Orange</v>
      </c>
      <c r="Q27" s="23" t="str">
        <f>IF(ISBLANK(Diag_NRO_export!N17),"",Diag_NRO_export!N17)</f>
        <v>-</v>
      </c>
      <c r="R27" s="23" t="str">
        <f>IF(ISBLANK(Diag_NRO_export!O17),"",Diag_NRO_export!O17)</f>
        <v>-</v>
      </c>
      <c r="S27" s="24" t="str">
        <f>IF(ISBLANK(Diag_NRO_export!P17),"",Diag_NRO_export!P17)</f>
        <v>-</v>
      </c>
      <c r="T27" s="23" t="str">
        <f>IF(C27="","",VLOOKUP(N27,Diag_macro!$H$2:$I$300,2,FALSE))</f>
        <v>jaune</v>
      </c>
      <c r="U27" s="70" t="str">
        <f>IF(C27="","",VLOOKUP(N27,Diag_macro!$N$2:$O$300,2,FALSE))</f>
        <v>Probabilité de saturation du réseau</v>
      </c>
      <c r="V27" s="70"/>
      <c r="W27" s="70"/>
      <c r="X27" s="70"/>
      <c r="Y27" s="70"/>
      <c r="Z27" s="71"/>
    </row>
    <row r="28" spans="2:26" x14ac:dyDescent="0.25">
      <c r="B28" s="28" t="str">
        <f>IF(ISBLANK(Diag_NRO_export!N18),"",Diag_NRO_export!N18)</f>
        <v>-</v>
      </c>
      <c r="C28" s="22">
        <f>IF(ISBLANK(Diag_NRO_export!A18),"",Diag_NRO_export!A18)</f>
        <v>24</v>
      </c>
      <c r="D28" s="23" t="str">
        <f>IF(ISBLANK(Diag_NRO_export!B18),"",Diag_NRO_export!B18)</f>
        <v>K2C</v>
      </c>
      <c r="E28" s="23" t="str">
        <f>IF(ISBLANK(Diag_NRO_export!A18),"",VLOOKUP(Diag_NRO_export!C18,Diag_macro!$D$2:$E$6,2,FALSE))</f>
        <v>Chaussée</v>
      </c>
      <c r="F28" s="24" t="str">
        <f>IF(ISBLANK(Diag_NRO_export!A18),"",VLOOKUP(Diag_NRO_export!B18,Diag_macro!$A$2:$B$55,2,FALSE))</f>
        <v>&lt;30dcm3</v>
      </c>
      <c r="G28" s="22">
        <f>IF(ISBLANK(Diag_NRO_export!D18),"",Diag_NRO_export!D18)</f>
        <v>46</v>
      </c>
      <c r="H28" s="23" t="str">
        <f>IF(ISBLANK(Diag_NRO_export!E18),"",Diag_NRO_export!E18)</f>
        <v>OHN</v>
      </c>
      <c r="I28" s="23" t="str">
        <f>IF(ISBLANK(Diag_NRO_export!E18),"",VLOOKUP(Diag_NRO_export!F18,Diag_macro!$D$2:$E$6,2,FALSE))</f>
        <v>Chaussée</v>
      </c>
      <c r="J28" s="24" t="str">
        <f>IF(ISBLANK(Diag_NRO_export!E18),"",VLOOKUP(Diag_NRO_export!E18,Diag_macro!$A$2:$B$300,2,FALSE))</f>
        <v>-</v>
      </c>
      <c r="K28" s="25" t="str">
        <f>IF(ISBLANK(Diag_NRO_export!L18),"",Diag_NRO_export!L18)</f>
        <v>Non</v>
      </c>
      <c r="L28" s="24" t="str">
        <f>IF(ISBLANK(Diag_NRO_export!M18),"",Diag_NRO_export!M18)</f>
        <v>Non</v>
      </c>
      <c r="M28" s="26">
        <f>IF(ISBLANK(Diag_NRO_export!J18),"",Diag_NRO_export!J18)</f>
        <v>154</v>
      </c>
      <c r="N28" s="23" t="str">
        <f>IF(ISBLANK(Diag_NRO_export!H18),"",Diag_NRO_export!H18)</f>
        <v>3Ø45</v>
      </c>
      <c r="O28" s="27" t="str">
        <f>IF(C28="","",VLOOKUP(N28,Diag_macro!$Q$2:$R$300,2,FALSE))</f>
        <v>Distribution</v>
      </c>
      <c r="P28" s="23" t="str">
        <f>IF(ISBLANK(Diag_NRO_export!K18),"",Diag_NRO_export!K18)</f>
        <v>Orange</v>
      </c>
      <c r="Q28" s="23" t="str">
        <f>IF(ISBLANK(Diag_NRO_export!N18),"",Diag_NRO_export!N18)</f>
        <v>-</v>
      </c>
      <c r="R28" s="23" t="str">
        <f>IF(ISBLANK(Diag_NRO_export!O18),"",Diag_NRO_export!O18)</f>
        <v>-</v>
      </c>
      <c r="S28" s="24" t="str">
        <f>IF(ISBLANK(Diag_NRO_export!P18),"",Diag_NRO_export!P18)</f>
        <v>-</v>
      </c>
      <c r="T28" s="23" t="str">
        <f>IF(C28="","",VLOOKUP(N28,Diag_macro!$H$2:$I$300,2,FALSE))</f>
        <v>jaune</v>
      </c>
      <c r="U28" s="70" t="str">
        <f>IF(C28="","",VLOOKUP(N28,Diag_macro!$N$2:$O$300,2,FALSE))</f>
        <v>Probabilité de saturation du réseau</v>
      </c>
      <c r="V28" s="70"/>
      <c r="W28" s="70"/>
      <c r="X28" s="70"/>
      <c r="Y28" s="70"/>
      <c r="Z28" s="71"/>
    </row>
    <row r="29" spans="2:26" x14ac:dyDescent="0.25">
      <c r="B29" s="28" t="str">
        <f>IF(ISBLANK(Diag_NRO_export!N19),"",Diag_NRO_export!N19)</f>
        <v>-</v>
      </c>
      <c r="C29" s="22">
        <f>IF(ISBLANK(Diag_NRO_export!A19),"",Diag_NRO_export!A19)</f>
        <v>24</v>
      </c>
      <c r="D29" s="23" t="str">
        <f>IF(ISBLANK(Diag_NRO_export!B19),"",Diag_NRO_export!B19)</f>
        <v>K2C</v>
      </c>
      <c r="E29" s="23" t="str">
        <f>IF(ISBLANK(Diag_NRO_export!A19),"",VLOOKUP(Diag_NRO_export!C19,Diag_macro!$D$2:$E$6,2,FALSE))</f>
        <v>Chaussée</v>
      </c>
      <c r="F29" s="24" t="str">
        <f>IF(ISBLANK(Diag_NRO_export!A19),"",VLOOKUP(Diag_NRO_export!B19,Diag_macro!$A$2:$B$55,2,FALSE))</f>
        <v>&lt;30dcm3</v>
      </c>
      <c r="G29" s="22">
        <f>IF(ISBLANK(Diag_NRO_export!D19),"",Diag_NRO_export!D19)</f>
        <v>27</v>
      </c>
      <c r="H29" s="23" t="str">
        <f>IF(ISBLANK(Diag_NRO_export!E19),"",Diag_NRO_export!E19)</f>
        <v>L0T</v>
      </c>
      <c r="I29" s="23" t="str">
        <f>IF(ISBLANK(Diag_NRO_export!E19),"",VLOOKUP(Diag_NRO_export!F19,Diag_macro!$D$2:$E$6,2,FALSE))</f>
        <v>Trottoir</v>
      </c>
      <c r="J29" s="24" t="str">
        <f>IF(ISBLANK(Diag_NRO_export!E19),"",VLOOKUP(Diag_NRO_export!E19,Diag_macro!$A$2:$B$300,2,FALSE))</f>
        <v>&lt;2dcm3</v>
      </c>
      <c r="K29" s="25" t="str">
        <f>IF(ISBLANK(Diag_NRO_export!L19),"",Diag_NRO_export!L19)</f>
        <v>Non</v>
      </c>
      <c r="L29" s="24" t="str">
        <f>IF(ISBLANK(Diag_NRO_export!M19),"",Diag_NRO_export!M19)</f>
        <v>Non</v>
      </c>
      <c r="M29" s="26">
        <f>IF(ISBLANK(Diag_NRO_export!J19),"",Diag_NRO_export!J19)</f>
        <v>109</v>
      </c>
      <c r="N29" s="23" t="str">
        <f>IF(ISBLANK(Diag_NRO_export!H19),"",Diag_NRO_export!H19)</f>
        <v>1Ø45</v>
      </c>
      <c r="O29" s="27" t="str">
        <f>IF(C29="","",VLOOKUP(N29,Diag_macro!$Q$2:$R$300,2,FALSE))</f>
        <v>Distribution</v>
      </c>
      <c r="P29" s="23" t="str">
        <f>IF(ISBLANK(Diag_NRO_export!K19),"",Diag_NRO_export!K19)</f>
        <v>Orange</v>
      </c>
      <c r="Q29" s="23" t="str">
        <f>IF(ISBLANK(Diag_NRO_export!N19),"",Diag_NRO_export!N19)</f>
        <v>-</v>
      </c>
      <c r="R29" s="23" t="str">
        <f>IF(ISBLANK(Diag_NRO_export!O19),"",Diag_NRO_export!O19)</f>
        <v>-</v>
      </c>
      <c r="S29" s="24" t="str">
        <f>IF(ISBLANK(Diag_NRO_export!P19),"",Diag_NRO_export!P19)</f>
        <v>-</v>
      </c>
      <c r="T29" s="23" t="str">
        <f>IF(C29="","",VLOOKUP(N29,Diag_macro!$H$2:$I$300,2,FALSE))</f>
        <v>rouge</v>
      </c>
      <c r="U29" s="70" t="str">
        <f>IF(C29="","",VLOOKUP(N29,Diag_macro!$N$2:$O$300,2,FALSE))</f>
        <v>Forte probabilité de saturation du réseau</v>
      </c>
      <c r="V29" s="70"/>
      <c r="W29" s="70"/>
      <c r="X29" s="70"/>
      <c r="Y29" s="70"/>
      <c r="Z29" s="71"/>
    </row>
    <row r="30" spans="2:26" x14ac:dyDescent="0.25">
      <c r="B30" s="28" t="str">
        <f>IF(ISBLANK(Diag_NRO_export!N20),"",Diag_NRO_export!N20)</f>
        <v>-</v>
      </c>
      <c r="C30" s="22">
        <f>IF(ISBLANK(Diag_NRO_export!A20),"",Diag_NRO_export!A20)</f>
        <v>41</v>
      </c>
      <c r="D30" s="23" t="str">
        <f>IF(ISBLANK(Diag_NRO_export!B20),"",Diag_NRO_export!B20)</f>
        <v>OHN</v>
      </c>
      <c r="E30" s="23" t="str">
        <f>IF(ISBLANK(Diag_NRO_export!A20),"",VLOOKUP(Diag_NRO_export!C20,Diag_macro!$D$2:$E$6,2,FALSE))</f>
        <v>Chaussée</v>
      </c>
      <c r="F30" s="24" t="str">
        <f>IF(ISBLANK(Diag_NRO_export!A20),"",VLOOKUP(Diag_NRO_export!B20,Diag_macro!$A$2:$B$55,2,FALSE))</f>
        <v>-</v>
      </c>
      <c r="G30" s="22">
        <f>IF(ISBLANK(Diag_NRO_export!D20),"",Diag_NRO_export!D20)</f>
        <v>92</v>
      </c>
      <c r="H30" s="23" t="str">
        <f>IF(ISBLANK(Diag_NRO_export!E20),"",Diag_NRO_export!E20)</f>
        <v>L0T</v>
      </c>
      <c r="I30" s="23" t="str">
        <f>IF(ISBLANK(Diag_NRO_export!E20),"",VLOOKUP(Diag_NRO_export!F20,Diag_macro!$D$2:$E$6,2,FALSE))</f>
        <v>Trottoir</v>
      </c>
      <c r="J30" s="24" t="str">
        <f>IF(ISBLANK(Diag_NRO_export!E20),"",VLOOKUP(Diag_NRO_export!E20,Diag_macro!$A$2:$B$300,2,FALSE))</f>
        <v>&lt;2dcm3</v>
      </c>
      <c r="K30" s="25" t="str">
        <f>IF(ISBLANK(Diag_NRO_export!L20),"",Diag_NRO_export!L20)</f>
        <v>Non</v>
      </c>
      <c r="L30" s="24" t="str">
        <f>IF(ISBLANK(Diag_NRO_export!M20),"",Diag_NRO_export!M20)</f>
        <v>Non</v>
      </c>
      <c r="M30" s="26">
        <f>IF(ISBLANK(Diag_NRO_export!J20),"",Diag_NRO_export!J20)</f>
        <v>62</v>
      </c>
      <c r="N30" s="23" t="str">
        <f>IF(ISBLANK(Diag_NRO_export!H20),"",Diag_NRO_export!H20)</f>
        <v>1Ø45</v>
      </c>
      <c r="O30" s="27" t="str">
        <f>IF(C30="","",VLOOKUP(N30,Diag_macro!$Q$2:$R$300,2,FALSE))</f>
        <v>Distribution</v>
      </c>
      <c r="P30" s="23" t="str">
        <f>IF(ISBLANK(Diag_NRO_export!K20),"",Diag_NRO_export!K20)</f>
        <v>Orange</v>
      </c>
      <c r="Q30" s="23" t="str">
        <f>IF(ISBLANK(Diag_NRO_export!N20),"",Diag_NRO_export!N20)</f>
        <v>-</v>
      </c>
      <c r="R30" s="23" t="str">
        <f>IF(ISBLANK(Diag_NRO_export!O20),"",Diag_NRO_export!O20)</f>
        <v>-</v>
      </c>
      <c r="S30" s="24" t="str">
        <f>IF(ISBLANK(Diag_NRO_export!P20),"",Diag_NRO_export!P20)</f>
        <v>-</v>
      </c>
      <c r="T30" s="23" t="str">
        <f>IF(C30="","",VLOOKUP(N30,Diag_macro!$H$2:$I$300,2,FALSE))</f>
        <v>rouge</v>
      </c>
      <c r="U30" s="70" t="str">
        <f>IF(C30="","",VLOOKUP(N30,Diag_macro!$N$2:$O$300,2,FALSE))</f>
        <v>Forte probabilité de saturation du réseau</v>
      </c>
      <c r="V30" s="70"/>
      <c r="W30" s="70"/>
      <c r="X30" s="70"/>
      <c r="Y30" s="70"/>
      <c r="Z30" s="71"/>
    </row>
    <row r="31" spans="2:26" x14ac:dyDescent="0.25">
      <c r="B31" s="28" t="str">
        <f>IF(ISBLANK(Diag_NRO_export!N21),"",Diag_NRO_export!N21)</f>
        <v>-</v>
      </c>
      <c r="C31" s="22">
        <f>IF(ISBLANK(Diag_NRO_export!A21),"",Diag_NRO_export!A21)</f>
        <v>18</v>
      </c>
      <c r="D31" s="23" t="str">
        <f>IF(ISBLANK(Diag_NRO_export!B21),"",Diag_NRO_export!B21)</f>
        <v>M1C</v>
      </c>
      <c r="E31" s="23" t="str">
        <f>IF(ISBLANK(Diag_NRO_export!A21),"",VLOOKUP(Diag_NRO_export!C21,Diag_macro!$D$2:$E$6,2,FALSE))</f>
        <v>Chaussée</v>
      </c>
      <c r="F31" s="24" t="str">
        <f>IF(ISBLANK(Diag_NRO_export!A21),"",VLOOKUP(Diag_NRO_export!B21,Diag_macro!$A$2:$B$55,2,FALSE))</f>
        <v>&lt;40dcm3</v>
      </c>
      <c r="G31" s="22">
        <f>IF(ISBLANK(Diag_NRO_export!D21),"",Diag_NRO_export!D21)</f>
        <v>17</v>
      </c>
      <c r="H31" s="23" t="str">
        <f>IF(ISBLANK(Diag_NRO_export!E21),"",Diag_NRO_export!E21)</f>
        <v>M1C</v>
      </c>
      <c r="I31" s="23" t="str">
        <f>IF(ISBLANK(Diag_NRO_export!E21),"",VLOOKUP(Diag_NRO_export!F21,Diag_macro!$D$2:$E$6,2,FALSE))</f>
        <v>Chaussée</v>
      </c>
      <c r="J31" s="24" t="str">
        <f>IF(ISBLANK(Diag_NRO_export!E21),"",VLOOKUP(Diag_NRO_export!E21,Diag_macro!$A$2:$B$300,2,FALSE))</f>
        <v>&lt;40dcm3</v>
      </c>
      <c r="K31" s="25" t="str">
        <f>IF(ISBLANK(Diag_NRO_export!L21),"",Diag_NRO_export!L21)</f>
        <v>Non</v>
      </c>
      <c r="L31" s="24" t="str">
        <f>IF(ISBLANK(Diag_NRO_export!M21),"",Diag_NRO_export!M21)</f>
        <v>Non</v>
      </c>
      <c r="M31" s="26">
        <f>IF(ISBLANK(Diag_NRO_export!J21),"",Diag_NRO_export!J21)</f>
        <v>31</v>
      </c>
      <c r="N31" s="23" t="str">
        <f>IF(ISBLANK(Diag_NRO_export!H21),"",Diag_NRO_export!H21)</f>
        <v>7Ø45</v>
      </c>
      <c r="O31" s="27" t="str">
        <f>IF(C31="","",VLOOKUP(N31,Diag_macro!$Q$2:$R$300,2,FALSE))</f>
        <v>Transport</v>
      </c>
      <c r="P31" s="23" t="str">
        <f>IF(ISBLANK(Diag_NRO_export!K21),"",Diag_NRO_export!K21)</f>
        <v>Orange</v>
      </c>
      <c r="Q31" s="23" t="str">
        <f>IF(ISBLANK(Diag_NRO_export!N21),"",Diag_NRO_export!N21)</f>
        <v>-</v>
      </c>
      <c r="R31" s="23" t="str">
        <f>IF(ISBLANK(Diag_NRO_export!O21),"",Diag_NRO_export!O21)</f>
        <v>-</v>
      </c>
      <c r="S31" s="24" t="str">
        <f>IF(ISBLANK(Diag_NRO_export!P21),"",Diag_NRO_export!P21)</f>
        <v>-</v>
      </c>
      <c r="T31" s="23" t="str">
        <f>IF(C31="","",VLOOKUP(N31,Diag_macro!$H$2:$I$300,2,FALSE))</f>
        <v>vert</v>
      </c>
      <c r="U31" s="70" t="str">
        <f>IF(C31="","",VLOOKUP(N31,Diag_macro!$N$2:$O$300,2,FALSE))</f>
        <v>Faible probabilité de saturation du réseau</v>
      </c>
      <c r="V31" s="70"/>
      <c r="W31" s="70"/>
      <c r="X31" s="70"/>
      <c r="Y31" s="70"/>
      <c r="Z31" s="71"/>
    </row>
    <row r="32" spans="2:26" x14ac:dyDescent="0.25">
      <c r="B32" s="28" t="str">
        <f>IF(ISBLANK(Diag_NRO_export!N22),"",Diag_NRO_export!N22)</f>
        <v>-</v>
      </c>
      <c r="C32" s="22">
        <f>IF(ISBLANK(Diag_NRO_export!A22),"",Diag_NRO_export!A22)</f>
        <v>41</v>
      </c>
      <c r="D32" s="23" t="str">
        <f>IF(ISBLANK(Diag_NRO_export!B22),"",Diag_NRO_export!B22)</f>
        <v>OHN</v>
      </c>
      <c r="E32" s="23" t="str">
        <f>IF(ISBLANK(Diag_NRO_export!A22),"",VLOOKUP(Diag_NRO_export!C22,Diag_macro!$D$2:$E$6,2,FALSE))</f>
        <v>Chaussée</v>
      </c>
      <c r="F32" s="24" t="str">
        <f>IF(ISBLANK(Diag_NRO_export!A22),"",VLOOKUP(Diag_NRO_export!B22,Diag_macro!$A$2:$B$55,2,FALSE))</f>
        <v>-</v>
      </c>
      <c r="G32" s="22">
        <f>IF(ISBLANK(Diag_NRO_export!D22),"",Diag_NRO_export!D22)</f>
        <v>48</v>
      </c>
      <c r="H32" s="23" t="str">
        <f>IF(ISBLANK(Diag_NRO_export!E22),"",Diag_NRO_export!E22)</f>
        <v>OHN</v>
      </c>
      <c r="I32" s="23" t="str">
        <f>IF(ISBLANK(Diag_NRO_export!E22),"",VLOOKUP(Diag_NRO_export!F22,Diag_macro!$D$2:$E$6,2,FALSE))</f>
        <v>Chaussée</v>
      </c>
      <c r="J32" s="24" t="str">
        <f>IF(ISBLANK(Diag_NRO_export!E22),"",VLOOKUP(Diag_NRO_export!E22,Diag_macro!$A$2:$B$300,2,FALSE))</f>
        <v>-</v>
      </c>
      <c r="K32" s="25" t="str">
        <f>IF(ISBLANK(Diag_NRO_export!L22),"",Diag_NRO_export!L22)</f>
        <v>Non</v>
      </c>
      <c r="L32" s="24" t="str">
        <f>IF(ISBLANK(Diag_NRO_export!M22),"",Diag_NRO_export!M22)</f>
        <v>Non</v>
      </c>
      <c r="M32" s="26">
        <f>IF(ISBLANK(Diag_NRO_export!J22),"",Diag_NRO_export!J22)</f>
        <v>228</v>
      </c>
      <c r="N32" s="23" t="str">
        <f>IF(ISBLANK(Diag_NRO_export!H22),"",Diag_NRO_export!H22)</f>
        <v>3Ø45</v>
      </c>
      <c r="O32" s="27" t="str">
        <f>IF(C32="","",VLOOKUP(N32,Diag_macro!$Q$2:$R$300,2,FALSE))</f>
        <v>Distribution</v>
      </c>
      <c r="P32" s="23" t="str">
        <f>IF(ISBLANK(Diag_NRO_export!K22),"",Diag_NRO_export!K22)</f>
        <v>Orange</v>
      </c>
      <c r="Q32" s="23" t="str">
        <f>IF(ISBLANK(Diag_NRO_export!N22),"",Diag_NRO_export!N22)</f>
        <v>-</v>
      </c>
      <c r="R32" s="23" t="str">
        <f>IF(ISBLANK(Diag_NRO_export!O22),"",Diag_NRO_export!O22)</f>
        <v>-</v>
      </c>
      <c r="S32" s="24" t="str">
        <f>IF(ISBLANK(Diag_NRO_export!P22),"",Diag_NRO_export!P22)</f>
        <v>-</v>
      </c>
      <c r="T32" s="23" t="str">
        <f>IF(C32="","",VLOOKUP(N32,Diag_macro!$H$2:$I$300,2,FALSE))</f>
        <v>jaune</v>
      </c>
      <c r="U32" s="70" t="str">
        <f>IF(C32="","",VLOOKUP(N32,Diag_macro!$N$2:$O$300,2,FALSE))</f>
        <v>Probabilité de saturation du réseau</v>
      </c>
      <c r="V32" s="70"/>
      <c r="W32" s="70"/>
      <c r="X32" s="70"/>
      <c r="Y32" s="70"/>
      <c r="Z32" s="71"/>
    </row>
    <row r="33" spans="2:26" x14ac:dyDescent="0.25">
      <c r="B33" s="28" t="str">
        <f>IF(ISBLANK(Diag_NRO_export!N23),"",Diag_NRO_export!N23)</f>
        <v>-</v>
      </c>
      <c r="C33" s="22">
        <f>IF(ISBLANK(Diag_NRO_export!A23),"",Diag_NRO_export!A23)</f>
        <v>41</v>
      </c>
      <c r="D33" s="23" t="str">
        <f>IF(ISBLANK(Diag_NRO_export!B23),"",Diag_NRO_export!B23)</f>
        <v>OHN</v>
      </c>
      <c r="E33" s="23" t="str">
        <f>IF(ISBLANK(Diag_NRO_export!A23),"",VLOOKUP(Diag_NRO_export!C23,Diag_macro!$D$2:$E$6,2,FALSE))</f>
        <v>Chaussée</v>
      </c>
      <c r="F33" s="24" t="str">
        <f>IF(ISBLANK(Diag_NRO_export!A23),"",VLOOKUP(Diag_NRO_export!B23,Diag_macro!$A$2:$B$55,2,FALSE))</f>
        <v>-</v>
      </c>
      <c r="G33" s="22">
        <f>IF(ISBLANK(Diag_NRO_export!D23),"",Diag_NRO_export!D23)</f>
        <v>39</v>
      </c>
      <c r="H33" s="23" t="str">
        <f>IF(ISBLANK(Diag_NRO_export!E23),"",Diag_NRO_export!E23)</f>
        <v>OHN</v>
      </c>
      <c r="I33" s="23" t="str">
        <f>IF(ISBLANK(Diag_NRO_export!E23),"",VLOOKUP(Diag_NRO_export!F23,Diag_macro!$D$2:$E$6,2,FALSE))</f>
        <v>Trottoir</v>
      </c>
      <c r="J33" s="24" t="str">
        <f>IF(ISBLANK(Diag_NRO_export!E23),"",VLOOKUP(Diag_NRO_export!E23,Diag_macro!$A$2:$B$300,2,FALSE))</f>
        <v>-</v>
      </c>
      <c r="K33" s="25" t="str">
        <f>IF(ISBLANK(Diag_NRO_export!L23),"",Diag_NRO_export!L23)</f>
        <v>Non</v>
      </c>
      <c r="L33" s="24" t="str">
        <f>IF(ISBLANK(Diag_NRO_export!M23),"",Diag_NRO_export!M23)</f>
        <v>Non</v>
      </c>
      <c r="M33" s="26">
        <f>IF(ISBLANK(Diag_NRO_export!J23),"",Diag_NRO_export!J23)</f>
        <v>280</v>
      </c>
      <c r="N33" s="23" t="str">
        <f>IF(ISBLANK(Diag_NRO_export!H23),"",Diag_NRO_export!H23)</f>
        <v>3Ø45</v>
      </c>
      <c r="O33" s="27" t="str">
        <f>IF(C33="","",VLOOKUP(N33,Diag_macro!$Q$2:$R$300,2,FALSE))</f>
        <v>Distribution</v>
      </c>
      <c r="P33" s="23" t="str">
        <f>IF(ISBLANK(Diag_NRO_export!K23),"",Diag_NRO_export!K23)</f>
        <v>Orange</v>
      </c>
      <c r="Q33" s="23" t="str">
        <f>IF(ISBLANK(Diag_NRO_export!N23),"",Diag_NRO_export!N23)</f>
        <v>-</v>
      </c>
      <c r="R33" s="23" t="str">
        <f>IF(ISBLANK(Diag_NRO_export!O23),"",Diag_NRO_export!O23)</f>
        <v>-</v>
      </c>
      <c r="S33" s="24" t="str">
        <f>IF(ISBLANK(Diag_NRO_export!P23),"",Diag_NRO_export!P23)</f>
        <v>-</v>
      </c>
      <c r="T33" s="23" t="str">
        <f>IF(C33="","",VLOOKUP(N33,Diag_macro!$H$2:$I$300,2,FALSE))</f>
        <v>jaune</v>
      </c>
      <c r="U33" s="70" t="str">
        <f>IF(C33="","",VLOOKUP(N33,Diag_macro!$N$2:$O$300,2,FALSE))</f>
        <v>Probabilité de saturation du réseau</v>
      </c>
      <c r="V33" s="70"/>
      <c r="W33" s="70"/>
      <c r="X33" s="70"/>
      <c r="Y33" s="70"/>
      <c r="Z33" s="71"/>
    </row>
    <row r="34" spans="2:26" x14ac:dyDescent="0.25">
      <c r="B34" s="28" t="str">
        <f>IF(ISBLANK(Diag_NRO_export!N24),"",Diag_NRO_export!N24)</f>
        <v>-</v>
      </c>
      <c r="C34" s="22">
        <f>IF(ISBLANK(Diag_NRO_export!A24),"",Diag_NRO_export!A24)</f>
        <v>49</v>
      </c>
      <c r="D34" s="23" t="str">
        <f>IF(ISBLANK(Diag_NRO_export!B24),"",Diag_NRO_export!B24)</f>
        <v>L3T</v>
      </c>
      <c r="E34" s="23" t="str">
        <f>IF(ISBLANK(Diag_NRO_export!A24),"",VLOOKUP(Diag_NRO_export!C24,Diag_macro!$D$2:$E$6,2,FALSE))</f>
        <v>Trottoir</v>
      </c>
      <c r="F34" s="24" t="str">
        <f>IF(ISBLANK(Diag_NRO_export!A24),"",VLOOKUP(Diag_NRO_export!B24,Diag_macro!$A$2:$B$55,2,FALSE))</f>
        <v>&lt;30dcm3</v>
      </c>
      <c r="G34" s="22">
        <f>IF(ISBLANK(Diag_NRO_export!D24),"",Diag_NRO_export!D24)</f>
        <v>48</v>
      </c>
      <c r="H34" s="23" t="str">
        <f>IF(ISBLANK(Diag_NRO_export!E24),"",Diag_NRO_export!E24)</f>
        <v>OHN</v>
      </c>
      <c r="I34" s="23" t="str">
        <f>IF(ISBLANK(Diag_NRO_export!E24),"",VLOOKUP(Diag_NRO_export!F24,Diag_macro!$D$2:$E$6,2,FALSE))</f>
        <v>Chaussée</v>
      </c>
      <c r="J34" s="24" t="str">
        <f>IF(ISBLANK(Diag_NRO_export!E24),"",VLOOKUP(Diag_NRO_export!E24,Diag_macro!$A$2:$B$300,2,FALSE))</f>
        <v>-</v>
      </c>
      <c r="K34" s="25" t="str">
        <f>IF(ISBLANK(Diag_NRO_export!L24),"",Diag_NRO_export!L24)</f>
        <v>Non</v>
      </c>
      <c r="L34" s="24" t="str">
        <f>IF(ISBLANK(Diag_NRO_export!M24),"",Diag_NRO_export!M24)</f>
        <v>Non</v>
      </c>
      <c r="M34" s="26">
        <f>IF(ISBLANK(Diag_NRO_export!J24),"",Diag_NRO_export!J24)</f>
        <v>97</v>
      </c>
      <c r="N34" s="23" t="str">
        <f>IF(ISBLANK(Diag_NRO_export!H24),"",Diag_NRO_export!H24)</f>
        <v>4Ø45</v>
      </c>
      <c r="O34" s="27" t="str">
        <f>IF(C34="","",VLOOKUP(N34,Diag_macro!$Q$2:$R$300,2,FALSE))</f>
        <v>Distribution</v>
      </c>
      <c r="P34" s="23" t="str">
        <f>IF(ISBLANK(Diag_NRO_export!K24),"",Diag_NRO_export!K24)</f>
        <v>Orange</v>
      </c>
      <c r="Q34" s="23" t="str">
        <f>IF(ISBLANK(Diag_NRO_export!N24),"",Diag_NRO_export!N24)</f>
        <v>-</v>
      </c>
      <c r="R34" s="23" t="str">
        <f>IF(ISBLANK(Diag_NRO_export!O24),"",Diag_NRO_export!O24)</f>
        <v>-</v>
      </c>
      <c r="S34" s="24" t="str">
        <f>IF(ISBLANK(Diag_NRO_export!P24),"",Diag_NRO_export!P24)</f>
        <v>-</v>
      </c>
      <c r="T34" s="23" t="str">
        <f>IF(C34="","",VLOOKUP(N34,Diag_macro!$H$2:$I$300,2,FALSE))</f>
        <v>jaune</v>
      </c>
      <c r="U34" s="70" t="str">
        <f>IF(C34="","",VLOOKUP(N34,Diag_macro!$N$2:$O$300,2,FALSE))</f>
        <v>Probabilité de saturation du réseau</v>
      </c>
      <c r="V34" s="70"/>
      <c r="W34" s="70"/>
      <c r="X34" s="70"/>
      <c r="Y34" s="70"/>
      <c r="Z34" s="71"/>
    </row>
    <row r="35" spans="2:26" x14ac:dyDescent="0.25">
      <c r="B35" s="28" t="str">
        <f>IF(ISBLANK(Diag_NRO_export!N25),"",Diag_NRO_export!N25)</f>
        <v>-</v>
      </c>
      <c r="C35" s="22">
        <f>IF(ISBLANK(Diag_NRO_export!A25),"",Diag_NRO_export!A25)</f>
        <v>46</v>
      </c>
      <c r="D35" s="23" t="str">
        <f>IF(ISBLANK(Diag_NRO_export!B25),"",Diag_NRO_export!B25)</f>
        <v>OHN</v>
      </c>
      <c r="E35" s="23" t="str">
        <f>IF(ISBLANK(Diag_NRO_export!A25),"",VLOOKUP(Diag_NRO_export!C25,Diag_macro!$D$2:$E$6,2,FALSE))</f>
        <v>Chaussée</v>
      </c>
      <c r="F35" s="24" t="str">
        <f>IF(ISBLANK(Diag_NRO_export!A25),"",VLOOKUP(Diag_NRO_export!B25,Diag_macro!$A$2:$B$55,2,FALSE))</f>
        <v>-</v>
      </c>
      <c r="G35" s="22">
        <f>IF(ISBLANK(Diag_NRO_export!D25),"",Diag_NRO_export!D25)</f>
        <v>25</v>
      </c>
      <c r="H35" s="23" t="str">
        <f>IF(ISBLANK(Diag_NRO_export!E25),"",Diag_NRO_export!E25)</f>
        <v>L0T</v>
      </c>
      <c r="I35" s="23" t="str">
        <f>IF(ISBLANK(Diag_NRO_export!E25),"",VLOOKUP(Diag_NRO_export!F25,Diag_macro!$D$2:$E$6,2,FALSE))</f>
        <v>Trottoir</v>
      </c>
      <c r="J35" s="24" t="str">
        <f>IF(ISBLANK(Diag_NRO_export!E25),"",VLOOKUP(Diag_NRO_export!E25,Diag_macro!$A$2:$B$300,2,FALSE))</f>
        <v>&lt;2dcm3</v>
      </c>
      <c r="K35" s="25" t="str">
        <f>IF(ISBLANK(Diag_NRO_export!L25),"",Diag_NRO_export!L25)</f>
        <v>Non</v>
      </c>
      <c r="L35" s="24" t="str">
        <f>IF(ISBLANK(Diag_NRO_export!M25),"",Diag_NRO_export!M25)</f>
        <v>Non</v>
      </c>
      <c r="M35" s="26">
        <f>IF(ISBLANK(Diag_NRO_export!J25),"",Diag_NRO_export!J25)</f>
        <v>91</v>
      </c>
      <c r="N35" s="23" t="str">
        <f>IF(ISBLANK(Diag_NRO_export!H25),"",Diag_NRO_export!H25)</f>
        <v>2Ø45</v>
      </c>
      <c r="O35" s="27" t="str">
        <f>IF(C35="","",VLOOKUP(N35,Diag_macro!$Q$2:$R$300,2,FALSE))</f>
        <v>Distribution</v>
      </c>
      <c r="P35" s="23" t="str">
        <f>IF(ISBLANK(Diag_NRO_export!K25),"",Diag_NRO_export!K25)</f>
        <v>Orange</v>
      </c>
      <c r="Q35" s="23" t="str">
        <f>IF(ISBLANK(Diag_NRO_export!N25),"",Diag_NRO_export!N25)</f>
        <v>-</v>
      </c>
      <c r="R35" s="23" t="str">
        <f>IF(ISBLANK(Diag_NRO_export!O25),"",Diag_NRO_export!O25)</f>
        <v>-</v>
      </c>
      <c r="S35" s="24" t="str">
        <f>IF(ISBLANK(Diag_NRO_export!P25),"",Diag_NRO_export!P25)</f>
        <v>-</v>
      </c>
      <c r="T35" s="23" t="str">
        <f>IF(C35="","",VLOOKUP(N35,Diag_macro!$H$2:$I$300,2,FALSE))</f>
        <v>rouge</v>
      </c>
      <c r="U35" s="70" t="str">
        <f>IF(C35="","",VLOOKUP(N35,Diag_macro!$N$2:$O$300,2,FALSE))</f>
        <v>Forte probabilité de saturation du réseau</v>
      </c>
      <c r="V35" s="70"/>
      <c r="W35" s="70"/>
      <c r="X35" s="70"/>
      <c r="Y35" s="70"/>
      <c r="Z35" s="71"/>
    </row>
    <row r="36" spans="2:26" x14ac:dyDescent="0.25">
      <c r="B36" s="28" t="str">
        <f>IF(ISBLANK(Diag_NRO_export!N26),"",Diag_NRO_export!N26)</f>
        <v>-</v>
      </c>
      <c r="C36" s="22">
        <f>IF(ISBLANK(Diag_NRO_export!A26),"",Diag_NRO_export!A26)</f>
        <v>41</v>
      </c>
      <c r="D36" s="23" t="str">
        <f>IF(ISBLANK(Diag_NRO_export!B26),"",Diag_NRO_export!B26)</f>
        <v>OHN</v>
      </c>
      <c r="E36" s="23" t="str">
        <f>IF(ISBLANK(Diag_NRO_export!A26),"",VLOOKUP(Diag_NRO_export!C26,Diag_macro!$D$2:$E$6,2,FALSE))</f>
        <v>Chaussée</v>
      </c>
      <c r="F36" s="24" t="str">
        <f>IF(ISBLANK(Diag_NRO_export!A26),"",VLOOKUP(Diag_NRO_export!B26,Diag_macro!$A$2:$B$55,2,FALSE))</f>
        <v>-</v>
      </c>
      <c r="G36" s="22">
        <f>IF(ISBLANK(Diag_NRO_export!D26),"",Diag_NRO_export!D26)</f>
        <v>45</v>
      </c>
      <c r="H36" s="23" t="str">
        <f>IF(ISBLANK(Diag_NRO_export!E26),"",Diag_NRO_export!E26)</f>
        <v>L0T</v>
      </c>
      <c r="I36" s="23" t="str">
        <f>IF(ISBLANK(Diag_NRO_export!E26),"",VLOOKUP(Diag_NRO_export!F26,Diag_macro!$D$2:$E$6,2,FALSE))</f>
        <v>Trottoir</v>
      </c>
      <c r="J36" s="24" t="str">
        <f>IF(ISBLANK(Diag_NRO_export!E26),"",VLOOKUP(Diag_NRO_export!E26,Diag_macro!$A$2:$B$300,2,FALSE))</f>
        <v>&lt;2dcm3</v>
      </c>
      <c r="K36" s="25" t="str">
        <f>IF(ISBLANK(Diag_NRO_export!L26),"",Diag_NRO_export!L26)</f>
        <v>Non</v>
      </c>
      <c r="L36" s="24" t="str">
        <f>IF(ISBLANK(Diag_NRO_export!M26),"",Diag_NRO_export!M26)</f>
        <v>Non</v>
      </c>
      <c r="M36" s="26">
        <f>IF(ISBLANK(Diag_NRO_export!J26),"",Diag_NRO_export!J26)</f>
        <v>19</v>
      </c>
      <c r="N36" s="23" t="str">
        <f>IF(ISBLANK(Diag_NRO_export!H26),"",Diag_NRO_export!H26)</f>
        <v>2Ø45</v>
      </c>
      <c r="O36" s="27" t="str">
        <f>IF(C36="","",VLOOKUP(N36,Diag_macro!$Q$2:$R$300,2,FALSE))</f>
        <v>Distribution</v>
      </c>
      <c r="P36" s="23" t="str">
        <f>IF(ISBLANK(Diag_NRO_export!K26),"",Diag_NRO_export!K26)</f>
        <v>Orange</v>
      </c>
      <c r="Q36" s="23" t="str">
        <f>IF(ISBLANK(Diag_NRO_export!N26),"",Diag_NRO_export!N26)</f>
        <v>-</v>
      </c>
      <c r="R36" s="23" t="str">
        <f>IF(ISBLANK(Diag_NRO_export!O26),"",Diag_NRO_export!O26)</f>
        <v>-</v>
      </c>
      <c r="S36" s="24" t="str">
        <f>IF(ISBLANK(Diag_NRO_export!P26),"",Diag_NRO_export!P26)</f>
        <v>-</v>
      </c>
      <c r="T36" s="23" t="str">
        <f>IF(C36="","",VLOOKUP(N36,Diag_macro!$H$2:$I$300,2,FALSE))</f>
        <v>rouge</v>
      </c>
      <c r="U36" s="70" t="str">
        <f>IF(C36="","",VLOOKUP(N36,Diag_macro!$N$2:$O$300,2,FALSE))</f>
        <v>Forte probabilité de saturation du réseau</v>
      </c>
      <c r="V36" s="70"/>
      <c r="W36" s="70"/>
      <c r="X36" s="70"/>
      <c r="Y36" s="70"/>
      <c r="Z36" s="71"/>
    </row>
    <row r="37" spans="2:26" x14ac:dyDescent="0.25">
      <c r="B37" s="28" t="str">
        <f>IF(ISBLANK(Diag_NRO_export!N27),"",Diag_NRO_export!N27)</f>
        <v/>
      </c>
      <c r="C37" s="22" t="str">
        <f>IF(ISBLANK(Diag_NRO_export!A27),"",Diag_NRO_export!A27)</f>
        <v/>
      </c>
      <c r="D37" s="23" t="str">
        <f>IF(ISBLANK(Diag_NRO_export!B27),"",Diag_NRO_export!B27)</f>
        <v/>
      </c>
      <c r="E37" s="23" t="str">
        <f>IF(ISBLANK(Diag_NRO_export!A27),"",VLOOKUP(Diag_NRO_export!C27,Diag_macro!$D$2:$E$6,2,FALSE))</f>
        <v/>
      </c>
      <c r="F37" s="24" t="str">
        <f>IF(ISBLANK(Diag_NRO_export!A27),"",VLOOKUP(Diag_NRO_export!B27,Diag_macro!$A$2:$B$55,2,FALSE))</f>
        <v/>
      </c>
      <c r="G37" s="22" t="str">
        <f>IF(ISBLANK(Diag_NRO_export!D27),"",Diag_NRO_export!D27)</f>
        <v/>
      </c>
      <c r="H37" s="23" t="str">
        <f>IF(ISBLANK(Diag_NRO_export!E27),"",Diag_NRO_export!E27)</f>
        <v/>
      </c>
      <c r="I37" s="23" t="str">
        <f>IF(ISBLANK(Diag_NRO_export!E27),"",VLOOKUP(Diag_NRO_export!F27,Diag_macro!$D$2:$E$6,2,FALSE))</f>
        <v/>
      </c>
      <c r="J37" s="24" t="str">
        <f>IF(ISBLANK(Diag_NRO_export!E27),"",VLOOKUP(Diag_NRO_export!E27,Diag_macro!$A$2:$B$300,2,FALSE))</f>
        <v/>
      </c>
      <c r="K37" s="25" t="str">
        <f>IF(ISBLANK(Diag_NRO_export!L27),"",Diag_NRO_export!L27)</f>
        <v/>
      </c>
      <c r="L37" s="24" t="str">
        <f>IF(ISBLANK(Diag_NRO_export!M27),"",Diag_NRO_export!M27)</f>
        <v/>
      </c>
      <c r="M37" s="26" t="str">
        <f>IF(ISBLANK(Diag_NRO_export!J27),"",Diag_NRO_export!J27)</f>
        <v/>
      </c>
      <c r="N37" s="23" t="str">
        <f>IF(ISBLANK(Diag_NRO_export!H27),"",Diag_NRO_export!H27)</f>
        <v/>
      </c>
      <c r="O37" s="27" t="str">
        <f>IF(C37="","",VLOOKUP(N37,Diag_macro!$Q$2:$R$300,2,FALSE))</f>
        <v/>
      </c>
      <c r="P37" s="23" t="str">
        <f>IF(ISBLANK(Diag_NRO_export!K27),"",Diag_NRO_export!K27)</f>
        <v/>
      </c>
      <c r="Q37" s="23" t="str">
        <f>IF(ISBLANK(Diag_NRO_export!N27),"",Diag_NRO_export!N27)</f>
        <v/>
      </c>
      <c r="R37" s="23" t="str">
        <f>IF(ISBLANK(Diag_NRO_export!O27),"",Diag_NRO_export!O27)</f>
        <v/>
      </c>
      <c r="S37" s="24" t="str">
        <f>IF(ISBLANK(Diag_NRO_export!P27),"",Diag_NRO_export!P27)</f>
        <v/>
      </c>
      <c r="T37" s="23" t="str">
        <f>IF(C37="","",VLOOKUP(N37,Diag_macro!$H$2:$I$300,2,FALSE))</f>
        <v/>
      </c>
      <c r="U37" s="70" t="str">
        <f>IF(C37="","",VLOOKUP(N37,Diag_macro!$N$2:$O$300,2,FALSE))</f>
        <v/>
      </c>
      <c r="V37" s="70"/>
      <c r="W37" s="70"/>
      <c r="X37" s="70"/>
      <c r="Y37" s="70"/>
      <c r="Z37" s="71"/>
    </row>
    <row r="38" spans="2:26" x14ac:dyDescent="0.25">
      <c r="B38" s="28" t="str">
        <f>IF(ISBLANK(Diag_NRO_export!N28),"",Diag_NRO_export!N28)</f>
        <v/>
      </c>
      <c r="C38" s="22" t="str">
        <f>IF(ISBLANK(Diag_NRO_export!A28),"",Diag_NRO_export!A28)</f>
        <v/>
      </c>
      <c r="D38" s="23" t="str">
        <f>IF(ISBLANK(Diag_NRO_export!B28),"",Diag_NRO_export!B28)</f>
        <v/>
      </c>
      <c r="E38" s="23" t="str">
        <f>IF(ISBLANK(Diag_NRO_export!A28),"",VLOOKUP(Diag_NRO_export!C28,Diag_macro!$D$2:$E$6,2,FALSE))</f>
        <v/>
      </c>
      <c r="F38" s="24" t="str">
        <f>IF(ISBLANK(Diag_NRO_export!A28),"",VLOOKUP(Diag_NRO_export!B28,Diag_macro!$A$2:$B$55,2,FALSE))</f>
        <v/>
      </c>
      <c r="G38" s="22" t="str">
        <f>IF(ISBLANK(Diag_NRO_export!D28),"",Diag_NRO_export!D28)</f>
        <v/>
      </c>
      <c r="H38" s="23" t="str">
        <f>IF(ISBLANK(Diag_NRO_export!E28),"",Diag_NRO_export!E28)</f>
        <v/>
      </c>
      <c r="I38" s="23" t="str">
        <f>IF(ISBLANK(Diag_NRO_export!E28),"",VLOOKUP(Diag_NRO_export!F28,Diag_macro!$D$2:$E$6,2,FALSE))</f>
        <v/>
      </c>
      <c r="J38" s="24" t="str">
        <f>IF(ISBLANK(Diag_NRO_export!E28),"",VLOOKUP(Diag_NRO_export!E28,Diag_macro!$A$2:$B$300,2,FALSE))</f>
        <v/>
      </c>
      <c r="K38" s="25" t="str">
        <f>IF(ISBLANK(Diag_NRO_export!L28),"",Diag_NRO_export!L28)</f>
        <v/>
      </c>
      <c r="L38" s="24" t="str">
        <f>IF(ISBLANK(Diag_NRO_export!M28),"",Diag_NRO_export!M28)</f>
        <v/>
      </c>
      <c r="M38" s="26" t="str">
        <f>IF(ISBLANK(Diag_NRO_export!J28),"",Diag_NRO_export!J28)</f>
        <v/>
      </c>
      <c r="N38" s="23" t="str">
        <f>IF(ISBLANK(Diag_NRO_export!H28),"",Diag_NRO_export!H28)</f>
        <v/>
      </c>
      <c r="O38" s="27" t="str">
        <f>IF(C38="","",VLOOKUP(N38,Diag_macro!$Q$2:$R$300,2,FALSE))</f>
        <v/>
      </c>
      <c r="P38" s="23" t="str">
        <f>IF(ISBLANK(Diag_NRO_export!K28),"",Diag_NRO_export!K28)</f>
        <v/>
      </c>
      <c r="Q38" s="23" t="str">
        <f>IF(ISBLANK(Diag_NRO_export!N28),"",Diag_NRO_export!N28)</f>
        <v/>
      </c>
      <c r="R38" s="23" t="str">
        <f>IF(ISBLANK(Diag_NRO_export!O28),"",Diag_NRO_export!O28)</f>
        <v/>
      </c>
      <c r="S38" s="24" t="str">
        <f>IF(ISBLANK(Diag_NRO_export!P28),"",Diag_NRO_export!P28)</f>
        <v/>
      </c>
      <c r="T38" s="23" t="str">
        <f>IF(C38="","",VLOOKUP(N38,Diag_macro!$H$2:$I$300,2,FALSE))</f>
        <v/>
      </c>
      <c r="U38" s="70" t="str">
        <f>IF(C38="","",VLOOKUP(N38,Diag_macro!$N$2:$O$300,2,FALSE))</f>
        <v/>
      </c>
      <c r="V38" s="70"/>
      <c r="W38" s="70"/>
      <c r="X38" s="70"/>
      <c r="Y38" s="70"/>
      <c r="Z38" s="71"/>
    </row>
    <row r="39" spans="2:26" x14ac:dyDescent="0.25">
      <c r="B39" s="28" t="str">
        <f>IF(ISBLANK(Diag_NRO_export!N29),"",Diag_NRO_export!N29)</f>
        <v/>
      </c>
      <c r="C39" s="22" t="str">
        <f>IF(ISBLANK(Diag_NRO_export!A29),"",Diag_NRO_export!A29)</f>
        <v/>
      </c>
      <c r="D39" s="23" t="str">
        <f>IF(ISBLANK(Diag_NRO_export!B29),"",Diag_NRO_export!B29)</f>
        <v/>
      </c>
      <c r="E39" s="23" t="str">
        <f>IF(ISBLANK(Diag_NRO_export!A29),"",VLOOKUP(Diag_NRO_export!C29,Diag_macro!$D$2:$E$6,2,FALSE))</f>
        <v/>
      </c>
      <c r="F39" s="24" t="str">
        <f>IF(ISBLANK(Diag_NRO_export!A29),"",VLOOKUP(Diag_NRO_export!B29,Diag_macro!$A$2:$B$55,2,FALSE))</f>
        <v/>
      </c>
      <c r="G39" s="22" t="str">
        <f>IF(ISBLANK(Diag_NRO_export!D29),"",Diag_NRO_export!D29)</f>
        <v/>
      </c>
      <c r="H39" s="23" t="str">
        <f>IF(ISBLANK(Diag_NRO_export!E29),"",Diag_NRO_export!E29)</f>
        <v/>
      </c>
      <c r="I39" s="23" t="str">
        <f>IF(ISBLANK(Diag_NRO_export!E29),"",VLOOKUP(Diag_NRO_export!F29,Diag_macro!$D$2:$E$6,2,FALSE))</f>
        <v/>
      </c>
      <c r="J39" s="24" t="str">
        <f>IF(ISBLANK(Diag_NRO_export!E29),"",VLOOKUP(Diag_NRO_export!E29,Diag_macro!$A$2:$B$300,2,FALSE))</f>
        <v/>
      </c>
      <c r="K39" s="25" t="str">
        <f>IF(ISBLANK(Diag_NRO_export!L29),"",Diag_NRO_export!L29)</f>
        <v/>
      </c>
      <c r="L39" s="24" t="str">
        <f>IF(ISBLANK(Diag_NRO_export!M29),"",Diag_NRO_export!M29)</f>
        <v/>
      </c>
      <c r="M39" s="26" t="str">
        <f>IF(ISBLANK(Diag_NRO_export!J29),"",Diag_NRO_export!J29)</f>
        <v/>
      </c>
      <c r="N39" s="23" t="str">
        <f>IF(ISBLANK(Diag_NRO_export!H29),"",Diag_NRO_export!H29)</f>
        <v/>
      </c>
      <c r="O39" s="27" t="str">
        <f>IF(C39="","",VLOOKUP(N39,Diag_macro!$Q$2:$R$300,2,FALSE))</f>
        <v/>
      </c>
      <c r="P39" s="23" t="str">
        <f>IF(ISBLANK(Diag_NRO_export!K29),"",Diag_NRO_export!K29)</f>
        <v/>
      </c>
      <c r="Q39" s="23" t="str">
        <f>IF(ISBLANK(Diag_NRO_export!N29),"",Diag_NRO_export!N29)</f>
        <v/>
      </c>
      <c r="R39" s="23" t="str">
        <f>IF(ISBLANK(Diag_NRO_export!O29),"",Diag_NRO_export!O29)</f>
        <v/>
      </c>
      <c r="S39" s="24" t="str">
        <f>IF(ISBLANK(Diag_NRO_export!P29),"",Diag_NRO_export!P29)</f>
        <v/>
      </c>
      <c r="T39" s="23" t="str">
        <f>IF(C39="","",VLOOKUP(N39,Diag_macro!$H$2:$I$300,2,FALSE))</f>
        <v/>
      </c>
      <c r="U39" s="70" t="str">
        <f>IF(C39="","",VLOOKUP(N39,Diag_macro!$N$2:$O$300,2,FALSE))</f>
        <v/>
      </c>
      <c r="V39" s="70"/>
      <c r="W39" s="70"/>
      <c r="X39" s="70"/>
      <c r="Y39" s="70"/>
      <c r="Z39" s="71"/>
    </row>
    <row r="40" spans="2:26" x14ac:dyDescent="0.25">
      <c r="B40" s="28" t="str">
        <f>IF(ISBLANK(Diag_NRO_export!N30),"",Diag_NRO_export!N30)</f>
        <v/>
      </c>
      <c r="C40" s="22" t="str">
        <f>IF(ISBLANK(Diag_NRO_export!A30),"",Diag_NRO_export!A30)</f>
        <v/>
      </c>
      <c r="D40" s="23" t="str">
        <f>IF(ISBLANK(Diag_NRO_export!B30),"",Diag_NRO_export!B30)</f>
        <v/>
      </c>
      <c r="E40" s="23" t="str">
        <f>IF(ISBLANK(Diag_NRO_export!A30),"",VLOOKUP(Diag_NRO_export!C30,Diag_macro!$D$2:$E$6,2,FALSE))</f>
        <v/>
      </c>
      <c r="F40" s="24" t="str">
        <f>IF(ISBLANK(Diag_NRO_export!A30),"",VLOOKUP(Diag_NRO_export!B30,Diag_macro!$A$2:$B$55,2,FALSE))</f>
        <v/>
      </c>
      <c r="G40" s="22" t="str">
        <f>IF(ISBLANK(Diag_NRO_export!D30),"",Diag_NRO_export!D30)</f>
        <v/>
      </c>
      <c r="H40" s="23" t="str">
        <f>IF(ISBLANK(Diag_NRO_export!E30),"",Diag_NRO_export!E30)</f>
        <v/>
      </c>
      <c r="I40" s="23" t="str">
        <f>IF(ISBLANK(Diag_NRO_export!E30),"",VLOOKUP(Diag_NRO_export!F30,Diag_macro!$D$2:$E$6,2,FALSE))</f>
        <v/>
      </c>
      <c r="J40" s="24" t="str">
        <f>IF(ISBLANK(Diag_NRO_export!E30),"",VLOOKUP(Diag_NRO_export!E30,Diag_macro!$A$2:$B$300,2,FALSE))</f>
        <v/>
      </c>
      <c r="K40" s="25" t="str">
        <f>IF(ISBLANK(Diag_NRO_export!L30),"",Diag_NRO_export!L30)</f>
        <v/>
      </c>
      <c r="L40" s="24" t="str">
        <f>IF(ISBLANK(Diag_NRO_export!M30),"",Diag_NRO_export!M30)</f>
        <v/>
      </c>
      <c r="M40" s="26" t="str">
        <f>IF(ISBLANK(Diag_NRO_export!J30),"",Diag_NRO_export!J30)</f>
        <v/>
      </c>
      <c r="N40" s="23" t="str">
        <f>IF(ISBLANK(Diag_NRO_export!H30),"",Diag_NRO_export!H30)</f>
        <v/>
      </c>
      <c r="O40" s="27" t="str">
        <f>IF(C40="","",VLOOKUP(N40,Diag_macro!$Q$2:$R$300,2,FALSE))</f>
        <v/>
      </c>
      <c r="P40" s="23" t="str">
        <f>IF(ISBLANK(Diag_NRO_export!K30),"",Diag_NRO_export!K30)</f>
        <v/>
      </c>
      <c r="Q40" s="23" t="str">
        <f>IF(ISBLANK(Diag_NRO_export!N30),"",Diag_NRO_export!N30)</f>
        <v/>
      </c>
      <c r="R40" s="23" t="str">
        <f>IF(ISBLANK(Diag_NRO_export!O30),"",Diag_NRO_export!O30)</f>
        <v/>
      </c>
      <c r="S40" s="24" t="str">
        <f>IF(ISBLANK(Diag_NRO_export!P30),"",Diag_NRO_export!P30)</f>
        <v/>
      </c>
      <c r="T40" s="23" t="str">
        <f>IF(C40="","",VLOOKUP(N40,Diag_macro!$H$2:$I$300,2,FALSE))</f>
        <v/>
      </c>
      <c r="U40" s="70" t="str">
        <f>IF(C40="","",VLOOKUP(N40,Diag_macro!$N$2:$O$300,2,FALSE))</f>
        <v/>
      </c>
      <c r="V40" s="70"/>
      <c r="W40" s="70"/>
      <c r="X40" s="70"/>
      <c r="Y40" s="70"/>
      <c r="Z40" s="71"/>
    </row>
    <row r="41" spans="2:26" x14ac:dyDescent="0.25">
      <c r="B41" s="28" t="str">
        <f>IF(ISBLANK(Diag_NRO_export!N31),"",Diag_NRO_export!N31)</f>
        <v/>
      </c>
      <c r="C41" s="22" t="str">
        <f>IF(ISBLANK(Diag_NRO_export!A31),"",Diag_NRO_export!A31)</f>
        <v/>
      </c>
      <c r="D41" s="23" t="str">
        <f>IF(ISBLANK(Diag_NRO_export!B31),"",Diag_NRO_export!B31)</f>
        <v/>
      </c>
      <c r="E41" s="23" t="str">
        <f>IF(ISBLANK(Diag_NRO_export!A31),"",VLOOKUP(Diag_NRO_export!C31,Diag_macro!$D$2:$E$6,2,FALSE))</f>
        <v/>
      </c>
      <c r="F41" s="24" t="str">
        <f>IF(ISBLANK(Diag_NRO_export!A31),"",VLOOKUP(Diag_NRO_export!B31,Diag_macro!$A$2:$B$55,2,FALSE))</f>
        <v/>
      </c>
      <c r="G41" s="22" t="str">
        <f>IF(ISBLANK(Diag_NRO_export!D31),"",Diag_NRO_export!D31)</f>
        <v/>
      </c>
      <c r="H41" s="23" t="str">
        <f>IF(ISBLANK(Diag_NRO_export!E31),"",Diag_NRO_export!E31)</f>
        <v/>
      </c>
      <c r="I41" s="23" t="str">
        <f>IF(ISBLANK(Diag_NRO_export!E31),"",VLOOKUP(Diag_NRO_export!F31,Diag_macro!$D$2:$E$6,2,FALSE))</f>
        <v/>
      </c>
      <c r="J41" s="24" t="str">
        <f>IF(ISBLANK(Diag_NRO_export!E31),"",VLOOKUP(Diag_NRO_export!E31,Diag_macro!$A$2:$B$300,2,FALSE))</f>
        <v/>
      </c>
      <c r="K41" s="25" t="str">
        <f>IF(ISBLANK(Diag_NRO_export!L31),"",Diag_NRO_export!L31)</f>
        <v/>
      </c>
      <c r="L41" s="24" t="str">
        <f>IF(ISBLANK(Diag_NRO_export!M31),"",Diag_NRO_export!M31)</f>
        <v/>
      </c>
      <c r="M41" s="26" t="str">
        <f>IF(ISBLANK(Diag_NRO_export!J31),"",Diag_NRO_export!J31)</f>
        <v/>
      </c>
      <c r="N41" s="23" t="str">
        <f>IF(ISBLANK(Diag_NRO_export!H31),"",Diag_NRO_export!H31)</f>
        <v/>
      </c>
      <c r="O41" s="27" t="str">
        <f>IF(C41="","",VLOOKUP(N41,Diag_macro!$Q$2:$R$300,2,FALSE))</f>
        <v/>
      </c>
      <c r="P41" s="23" t="str">
        <f>IF(ISBLANK(Diag_NRO_export!K31),"",Diag_NRO_export!K31)</f>
        <v/>
      </c>
      <c r="Q41" s="23" t="str">
        <f>IF(ISBLANK(Diag_NRO_export!N31),"",Diag_NRO_export!N31)</f>
        <v/>
      </c>
      <c r="R41" s="23" t="str">
        <f>IF(ISBLANK(Diag_NRO_export!O31),"",Diag_NRO_export!O31)</f>
        <v/>
      </c>
      <c r="S41" s="24" t="str">
        <f>IF(ISBLANK(Diag_NRO_export!P31),"",Diag_NRO_export!P31)</f>
        <v/>
      </c>
      <c r="T41" s="23" t="str">
        <f>IF(C41="","",VLOOKUP(N41,Diag_macro!$H$2:$I$300,2,FALSE))</f>
        <v/>
      </c>
      <c r="U41" s="70" t="str">
        <f>IF(C41="","",VLOOKUP(N41,Diag_macro!$N$2:$O$300,2,FALSE))</f>
        <v/>
      </c>
      <c r="V41" s="70"/>
      <c r="W41" s="70"/>
      <c r="X41" s="70"/>
      <c r="Y41" s="70"/>
      <c r="Z41" s="71"/>
    </row>
    <row r="42" spans="2:26" x14ac:dyDescent="0.25">
      <c r="B42" s="28" t="str">
        <f>IF(ISBLANK(Diag_NRO_export!N32),"",Diag_NRO_export!N32)</f>
        <v/>
      </c>
      <c r="C42" s="22" t="str">
        <f>IF(ISBLANK(Diag_NRO_export!A32),"",Diag_NRO_export!A32)</f>
        <v/>
      </c>
      <c r="D42" s="23" t="str">
        <f>IF(ISBLANK(Diag_NRO_export!B32),"",Diag_NRO_export!B32)</f>
        <v/>
      </c>
      <c r="E42" s="23" t="str">
        <f>IF(ISBLANK(Diag_NRO_export!A32),"",VLOOKUP(Diag_NRO_export!C32,Diag_macro!$D$2:$E$6,2,FALSE))</f>
        <v/>
      </c>
      <c r="F42" s="24" t="str">
        <f>IF(ISBLANK(Diag_NRO_export!A32),"",VLOOKUP(Diag_NRO_export!B32,Diag_macro!$A$2:$B$55,2,FALSE))</f>
        <v/>
      </c>
      <c r="G42" s="22" t="str">
        <f>IF(ISBLANK(Diag_NRO_export!D32),"",Diag_NRO_export!D32)</f>
        <v/>
      </c>
      <c r="H42" s="23" t="str">
        <f>IF(ISBLANK(Diag_NRO_export!E32),"",Diag_NRO_export!E32)</f>
        <v/>
      </c>
      <c r="I42" s="23" t="str">
        <f>IF(ISBLANK(Diag_NRO_export!E32),"",VLOOKUP(Diag_NRO_export!F32,Diag_macro!$D$2:$E$6,2,FALSE))</f>
        <v/>
      </c>
      <c r="J42" s="24" t="str">
        <f>IF(ISBLANK(Diag_NRO_export!E32),"",VLOOKUP(Diag_NRO_export!E32,Diag_macro!$A$2:$B$300,2,FALSE))</f>
        <v/>
      </c>
      <c r="K42" s="25" t="str">
        <f>IF(ISBLANK(Diag_NRO_export!L32),"",Diag_NRO_export!L32)</f>
        <v/>
      </c>
      <c r="L42" s="24" t="str">
        <f>IF(ISBLANK(Diag_NRO_export!M32),"",Diag_NRO_export!M32)</f>
        <v/>
      </c>
      <c r="M42" s="26" t="str">
        <f>IF(ISBLANK(Diag_NRO_export!J32),"",Diag_NRO_export!J32)</f>
        <v/>
      </c>
      <c r="N42" s="23" t="str">
        <f>IF(ISBLANK(Diag_NRO_export!H32),"",Diag_NRO_export!H32)</f>
        <v/>
      </c>
      <c r="O42" s="27" t="str">
        <f>IF(C42="","",VLOOKUP(N42,Diag_macro!$Q$2:$R$300,2,FALSE))</f>
        <v/>
      </c>
      <c r="P42" s="23" t="str">
        <f>IF(ISBLANK(Diag_NRO_export!K32),"",Diag_NRO_export!K32)</f>
        <v/>
      </c>
      <c r="Q42" s="23" t="str">
        <f>IF(ISBLANK(Diag_NRO_export!N32),"",Diag_NRO_export!N32)</f>
        <v/>
      </c>
      <c r="R42" s="23" t="str">
        <f>IF(ISBLANK(Diag_NRO_export!O32),"",Diag_NRO_export!O32)</f>
        <v/>
      </c>
      <c r="S42" s="24" t="str">
        <f>IF(ISBLANK(Diag_NRO_export!P32),"",Diag_NRO_export!P32)</f>
        <v/>
      </c>
      <c r="T42" s="23" t="str">
        <f>IF(C42="","",VLOOKUP(N42,Diag_macro!$H$2:$I$300,2,FALSE))</f>
        <v/>
      </c>
      <c r="U42" s="70" t="str">
        <f>IF(C42="","",VLOOKUP(N42,Diag_macro!$N$2:$O$300,2,FALSE))</f>
        <v/>
      </c>
      <c r="V42" s="70"/>
      <c r="W42" s="70"/>
      <c r="X42" s="70"/>
      <c r="Y42" s="70"/>
      <c r="Z42" s="71"/>
    </row>
    <row r="43" spans="2:26" x14ac:dyDescent="0.25">
      <c r="B43" s="28" t="str">
        <f>IF(ISBLANK(Diag_NRO_export!N33),"",Diag_NRO_export!N33)</f>
        <v/>
      </c>
      <c r="C43" s="22" t="str">
        <f>IF(ISBLANK(Diag_NRO_export!A33),"",Diag_NRO_export!A33)</f>
        <v/>
      </c>
      <c r="D43" s="23" t="str">
        <f>IF(ISBLANK(Diag_NRO_export!B33),"",Diag_NRO_export!B33)</f>
        <v/>
      </c>
      <c r="E43" s="23" t="str">
        <f>IF(ISBLANK(Diag_NRO_export!A33),"",VLOOKUP(Diag_NRO_export!C33,Diag_macro!$D$2:$E$6,2,FALSE))</f>
        <v/>
      </c>
      <c r="F43" s="24" t="str">
        <f>IF(ISBLANK(Diag_NRO_export!A33),"",VLOOKUP(Diag_NRO_export!B33,Diag_macro!$A$2:$B$55,2,FALSE))</f>
        <v/>
      </c>
      <c r="G43" s="22" t="str">
        <f>IF(ISBLANK(Diag_NRO_export!D33),"",Diag_NRO_export!D33)</f>
        <v/>
      </c>
      <c r="H43" s="23" t="str">
        <f>IF(ISBLANK(Diag_NRO_export!E33),"",Diag_NRO_export!E33)</f>
        <v/>
      </c>
      <c r="I43" s="23" t="str">
        <f>IF(ISBLANK(Diag_NRO_export!E33),"",VLOOKUP(Diag_NRO_export!F33,Diag_macro!$D$2:$E$6,2,FALSE))</f>
        <v/>
      </c>
      <c r="J43" s="24" t="str">
        <f>IF(ISBLANK(Diag_NRO_export!E33),"",VLOOKUP(Diag_NRO_export!E33,Diag_macro!$A$2:$B$300,2,FALSE))</f>
        <v/>
      </c>
      <c r="K43" s="25" t="str">
        <f>IF(ISBLANK(Diag_NRO_export!L33),"",Diag_NRO_export!L33)</f>
        <v/>
      </c>
      <c r="L43" s="24" t="str">
        <f>IF(ISBLANK(Diag_NRO_export!M33),"",Diag_NRO_export!M33)</f>
        <v/>
      </c>
      <c r="M43" s="26" t="str">
        <f>IF(ISBLANK(Diag_NRO_export!J33),"",Diag_NRO_export!J33)</f>
        <v/>
      </c>
      <c r="N43" s="23" t="str">
        <f>IF(ISBLANK(Diag_NRO_export!H33),"",Diag_NRO_export!H33)</f>
        <v/>
      </c>
      <c r="O43" s="27" t="str">
        <f>IF(C43="","",VLOOKUP(N43,Diag_macro!$Q$2:$R$300,2,FALSE))</f>
        <v/>
      </c>
      <c r="P43" s="23" t="str">
        <f>IF(ISBLANK(Diag_NRO_export!K33),"",Diag_NRO_export!K33)</f>
        <v/>
      </c>
      <c r="Q43" s="23" t="str">
        <f>IF(ISBLANK(Diag_NRO_export!N33),"",Diag_NRO_export!N33)</f>
        <v/>
      </c>
      <c r="R43" s="23" t="str">
        <f>IF(ISBLANK(Diag_NRO_export!O33),"",Diag_NRO_export!O33)</f>
        <v/>
      </c>
      <c r="S43" s="24" t="str">
        <f>IF(ISBLANK(Diag_NRO_export!P33),"",Diag_NRO_export!P33)</f>
        <v/>
      </c>
      <c r="T43" s="23" t="str">
        <f>IF(C43="","",VLOOKUP(N43,Diag_macro!$H$2:$I$300,2,FALSE))</f>
        <v/>
      </c>
      <c r="U43" s="70" t="str">
        <f>IF(C43="","",VLOOKUP(N43,Diag_macro!$N$2:$O$300,2,FALSE))</f>
        <v/>
      </c>
      <c r="V43" s="70"/>
      <c r="W43" s="70"/>
      <c r="X43" s="70"/>
      <c r="Y43" s="70"/>
      <c r="Z43" s="71"/>
    </row>
    <row r="44" spans="2:26" x14ac:dyDescent="0.25">
      <c r="B44" s="28" t="str">
        <f>IF(ISBLANK(Diag_NRO_export!N34),"",Diag_NRO_export!N34)</f>
        <v/>
      </c>
      <c r="C44" s="22" t="str">
        <f>IF(ISBLANK(Diag_NRO_export!A34),"",Diag_NRO_export!A34)</f>
        <v/>
      </c>
      <c r="D44" s="23" t="str">
        <f>IF(ISBLANK(Diag_NRO_export!B34),"",Diag_NRO_export!B34)</f>
        <v/>
      </c>
      <c r="E44" s="23" t="str">
        <f>IF(ISBLANK(Diag_NRO_export!A34),"",VLOOKUP(Diag_NRO_export!C34,Diag_macro!$D$2:$E$6,2,FALSE))</f>
        <v/>
      </c>
      <c r="F44" s="24" t="str">
        <f>IF(ISBLANK(Diag_NRO_export!A34),"",VLOOKUP(Diag_NRO_export!B34,Diag_macro!$A$2:$B$55,2,FALSE))</f>
        <v/>
      </c>
      <c r="G44" s="22" t="str">
        <f>IF(ISBLANK(Diag_NRO_export!D34),"",Diag_NRO_export!D34)</f>
        <v/>
      </c>
      <c r="H44" s="23" t="str">
        <f>IF(ISBLANK(Diag_NRO_export!E34),"",Diag_NRO_export!E34)</f>
        <v/>
      </c>
      <c r="I44" s="23" t="str">
        <f>IF(ISBLANK(Diag_NRO_export!E34),"",VLOOKUP(Diag_NRO_export!F34,Diag_macro!$D$2:$E$6,2,FALSE))</f>
        <v/>
      </c>
      <c r="J44" s="24" t="str">
        <f>IF(ISBLANK(Diag_NRO_export!E34),"",VLOOKUP(Diag_NRO_export!E34,Diag_macro!$A$2:$B$300,2,FALSE))</f>
        <v/>
      </c>
      <c r="K44" s="25" t="str">
        <f>IF(ISBLANK(Diag_NRO_export!L34),"",Diag_NRO_export!L34)</f>
        <v/>
      </c>
      <c r="L44" s="24" t="str">
        <f>IF(ISBLANK(Diag_NRO_export!M34),"",Diag_NRO_export!M34)</f>
        <v/>
      </c>
      <c r="M44" s="26" t="str">
        <f>IF(ISBLANK(Diag_NRO_export!J34),"",Diag_NRO_export!J34)</f>
        <v/>
      </c>
      <c r="N44" s="23" t="str">
        <f>IF(ISBLANK(Diag_NRO_export!H34),"",Diag_NRO_export!H34)</f>
        <v/>
      </c>
      <c r="O44" s="27" t="str">
        <f>IF(C44="","",VLOOKUP(N44,Diag_macro!$Q$2:$R$300,2,FALSE))</f>
        <v/>
      </c>
      <c r="P44" s="23" t="str">
        <f>IF(ISBLANK(Diag_NRO_export!K34),"",Diag_NRO_export!K34)</f>
        <v/>
      </c>
      <c r="Q44" s="23" t="str">
        <f>IF(ISBLANK(Diag_NRO_export!N34),"",Diag_NRO_export!N34)</f>
        <v/>
      </c>
      <c r="R44" s="23" t="str">
        <f>IF(ISBLANK(Diag_NRO_export!O34),"",Diag_NRO_export!O34)</f>
        <v/>
      </c>
      <c r="S44" s="24" t="str">
        <f>IF(ISBLANK(Diag_NRO_export!P34),"",Diag_NRO_export!P34)</f>
        <v/>
      </c>
      <c r="T44" s="23" t="str">
        <f>IF(C44="","",VLOOKUP(N44,Diag_macro!$H$2:$I$300,2,FALSE))</f>
        <v/>
      </c>
      <c r="U44" s="70" t="str">
        <f>IF(C44="","",VLOOKUP(N44,Diag_macro!$N$2:$O$300,2,FALSE))</f>
        <v/>
      </c>
      <c r="V44" s="70"/>
      <c r="W44" s="70"/>
      <c r="X44" s="70"/>
      <c r="Y44" s="70"/>
      <c r="Z44" s="71"/>
    </row>
    <row r="45" spans="2:26" x14ac:dyDescent="0.25">
      <c r="B45" s="28" t="str">
        <f>IF(ISBLANK(Diag_NRO_export!N35),"",Diag_NRO_export!N35)</f>
        <v/>
      </c>
      <c r="C45" s="22" t="str">
        <f>IF(ISBLANK(Diag_NRO_export!A35),"",Diag_NRO_export!A35)</f>
        <v/>
      </c>
      <c r="D45" s="23" t="str">
        <f>IF(ISBLANK(Diag_NRO_export!B35),"",Diag_NRO_export!B35)</f>
        <v/>
      </c>
      <c r="E45" s="23" t="str">
        <f>IF(ISBLANK(Diag_NRO_export!A35),"",VLOOKUP(Diag_NRO_export!C35,Diag_macro!$D$2:$E$6,2,FALSE))</f>
        <v/>
      </c>
      <c r="F45" s="24" t="str">
        <f>IF(ISBLANK(Diag_NRO_export!A35),"",VLOOKUP(Diag_NRO_export!B35,Diag_macro!$A$2:$B$55,2,FALSE))</f>
        <v/>
      </c>
      <c r="G45" s="22" t="str">
        <f>IF(ISBLANK(Diag_NRO_export!D35),"",Diag_NRO_export!D35)</f>
        <v/>
      </c>
      <c r="H45" s="23" t="str">
        <f>IF(ISBLANK(Diag_NRO_export!E35),"",Diag_NRO_export!E35)</f>
        <v/>
      </c>
      <c r="I45" s="23" t="str">
        <f>IF(ISBLANK(Diag_NRO_export!E35),"",VLOOKUP(Diag_NRO_export!F35,Diag_macro!$D$2:$E$6,2,FALSE))</f>
        <v/>
      </c>
      <c r="J45" s="24" t="str">
        <f>IF(ISBLANK(Diag_NRO_export!E35),"",VLOOKUP(Diag_NRO_export!E35,Diag_macro!$A$2:$B$300,2,FALSE))</f>
        <v/>
      </c>
      <c r="K45" s="25" t="str">
        <f>IF(ISBLANK(Diag_NRO_export!L35),"",Diag_NRO_export!L35)</f>
        <v/>
      </c>
      <c r="L45" s="24" t="str">
        <f>IF(ISBLANK(Diag_NRO_export!M35),"",Diag_NRO_export!M35)</f>
        <v/>
      </c>
      <c r="M45" s="26" t="str">
        <f>IF(ISBLANK(Diag_NRO_export!J35),"",Diag_NRO_export!J35)</f>
        <v/>
      </c>
      <c r="N45" s="23" t="str">
        <f>IF(ISBLANK(Diag_NRO_export!H35),"",Diag_NRO_export!H35)</f>
        <v/>
      </c>
      <c r="O45" s="27" t="str">
        <f>IF(C45="","",VLOOKUP(N45,Diag_macro!$Q$2:$R$300,2,FALSE))</f>
        <v/>
      </c>
      <c r="P45" s="23" t="str">
        <f>IF(ISBLANK(Diag_NRO_export!K35),"",Diag_NRO_export!K35)</f>
        <v/>
      </c>
      <c r="Q45" s="23" t="str">
        <f>IF(ISBLANK(Diag_NRO_export!N35),"",Diag_NRO_export!N35)</f>
        <v/>
      </c>
      <c r="R45" s="23" t="str">
        <f>IF(ISBLANK(Diag_NRO_export!O35),"",Diag_NRO_export!O35)</f>
        <v/>
      </c>
      <c r="S45" s="24" t="str">
        <f>IF(ISBLANK(Diag_NRO_export!P35),"",Diag_NRO_export!P35)</f>
        <v/>
      </c>
      <c r="T45" s="23" t="str">
        <f>IF(C45="","",VLOOKUP(N45,Diag_macro!$H$2:$I$300,2,FALSE))</f>
        <v/>
      </c>
      <c r="U45" s="70" t="str">
        <f>IF(C45="","",VLOOKUP(N45,Diag_macro!$N$2:$O$300,2,FALSE))</f>
        <v/>
      </c>
      <c r="V45" s="70"/>
      <c r="W45" s="70"/>
      <c r="X45" s="70"/>
      <c r="Y45" s="70"/>
      <c r="Z45" s="71"/>
    </row>
    <row r="46" spans="2:26" x14ac:dyDescent="0.25">
      <c r="B46" s="29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1"/>
      <c r="U46" s="32"/>
      <c r="V46" s="32"/>
      <c r="W46" s="32"/>
      <c r="X46" s="32"/>
      <c r="Y46" s="32"/>
      <c r="Z46" s="32"/>
    </row>
  </sheetData>
  <mergeCells count="49">
    <mergeCell ref="U42:Z42"/>
    <mergeCell ref="U43:Z43"/>
    <mergeCell ref="U44:Z44"/>
    <mergeCell ref="U45:Z45"/>
    <mergeCell ref="U37:Z37"/>
    <mergeCell ref="U38:Z38"/>
    <mergeCell ref="U39:Z39"/>
    <mergeCell ref="U40:Z40"/>
    <mergeCell ref="U41:Z41"/>
    <mergeCell ref="U32:Z32"/>
    <mergeCell ref="U33:Z33"/>
    <mergeCell ref="U34:Z34"/>
    <mergeCell ref="U35:Z35"/>
    <mergeCell ref="U36:Z36"/>
    <mergeCell ref="U27:Z27"/>
    <mergeCell ref="U28:Z28"/>
    <mergeCell ref="U29:Z29"/>
    <mergeCell ref="U30:Z30"/>
    <mergeCell ref="U31:Z31"/>
    <mergeCell ref="U22:Z22"/>
    <mergeCell ref="U23:Z23"/>
    <mergeCell ref="U24:Z24"/>
    <mergeCell ref="U25:Z25"/>
    <mergeCell ref="U26:Z26"/>
    <mergeCell ref="U17:Z17"/>
    <mergeCell ref="U18:Z18"/>
    <mergeCell ref="U19:Z19"/>
    <mergeCell ref="U20:Z20"/>
    <mergeCell ref="U21:Z21"/>
    <mergeCell ref="U12:Z12"/>
    <mergeCell ref="U13:Z13"/>
    <mergeCell ref="U14:Z14"/>
    <mergeCell ref="U15:Z15"/>
    <mergeCell ref="U16:Z16"/>
    <mergeCell ref="M8:S8"/>
    <mergeCell ref="T8:Z8"/>
    <mergeCell ref="U9:Z9"/>
    <mergeCell ref="U10:Z10"/>
    <mergeCell ref="U11:Z11"/>
    <mergeCell ref="B6:E6"/>
    <mergeCell ref="F6:L6"/>
    <mergeCell ref="C8:F8"/>
    <mergeCell ref="G8:J8"/>
    <mergeCell ref="K8:L8"/>
    <mergeCell ref="B2:Z2"/>
    <mergeCell ref="B4:E4"/>
    <mergeCell ref="F4:L4"/>
    <mergeCell ref="B5:E5"/>
    <mergeCell ref="F5:L5"/>
  </mergeCells>
  <dataValidations count="5">
    <dataValidation type="list" allowBlank="1" showInputMessage="1" showErrorMessage="1" sqref="K10:L46" xr:uid="{00000000-0002-0000-0300-000000000000}">
      <formula1>"Oui,Non,-"</formula1>
    </dataValidation>
    <dataValidation type="list" allowBlank="1" showInputMessage="1" showErrorMessage="1" sqref="O10:O46" xr:uid="{00000000-0002-0000-0300-000001000000}">
      <formula1>"GC à créer,Transport,Distribution"</formula1>
    </dataValidation>
    <dataValidation type="list" allowBlank="1" showInputMessage="1" showErrorMessage="1" sqref="P10:P46" xr:uid="{00000000-0002-0000-0300-000002000000}">
      <formula1>"ADN,Orange"</formula1>
    </dataValidation>
    <dataValidation type="list" allowBlank="1" showInputMessage="1" showErrorMessage="1" sqref="E10:E46 I10:I46" xr:uid="{00000000-0002-0000-0300-000003000000}">
      <formula1>"Chaussée,Stationnement,Trottoir,Accotement,-"</formula1>
    </dataValidation>
    <dataValidation type="list" allowBlank="1" showInputMessage="1" showErrorMessage="1" sqref="F10:F46 J10:J46" xr:uid="{00000000-0002-0000-0300-000004000000}">
      <formula1>"&lt;40dcm3,&lt;30dcm3,&lt;10dcm3,&lt;6dcm3,&lt;2dcm3,-"</formula1>
    </dataValidation>
  </dataValidations>
  <pageMargins left="0.7" right="0.7" top="0.75" bottom="0.75" header="0.3" footer="0.3"/>
  <pageSetup paperSize="9" orientation="portrait" horizontalDpi="300" verticalDpi="0" copies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stopIfTrue="1" operator="containsText" id="{110E7F36-BDD9-4E28-A587-D29F91238F86}">
            <xm:f>NOT(ISERROR(SEARCH(Diag_macro!$G$5,T10)))</xm:f>
            <xm:f>Diag_macro!$G$5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" stopIfTrue="1" operator="containsText" id="{6B516FD0-BD9C-4AE6-BBD1-34E7A3521D8D}">
            <xm:f>NOT(ISERROR(SEARCH(Diag_macro!$G$3,T10)))</xm:f>
            <xm:f>Diag_macro!$G$3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6" stopIfTrue="1" operator="containsText" id="{8948E84C-0DBC-47D7-91BE-0D7BEA998F36}">
            <xm:f>NOT(ISERROR(SEARCH(Diag_macro!$G$2,T10)))</xm:f>
            <xm:f>Diag_macro!$G$2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T10:T45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53D51-A05A-4256-91BA-53C9BF85EBEE}">
  <sheetPr>
    <pageSetUpPr fitToPage="1"/>
  </sheetPr>
  <dimension ref="A1:P58"/>
  <sheetViews>
    <sheetView view="pageBreakPreview" zoomScale="85" zoomScaleNormal="100" zoomScaleSheetLayoutView="85" workbookViewId="0">
      <selection activeCell="J24" sqref="J24:L24"/>
    </sheetView>
  </sheetViews>
  <sheetFormatPr baseColWidth="10" defaultRowHeight="15" x14ac:dyDescent="0.25"/>
  <cols>
    <col min="1" max="1" width="3.7109375" style="39" customWidth="1"/>
    <col min="2" max="2" width="7.7109375" style="39" customWidth="1"/>
    <col min="3" max="3" width="13.7109375" style="39" customWidth="1"/>
    <col min="4" max="15" width="7.7109375" style="39" customWidth="1"/>
    <col min="16" max="16" width="3.7109375" style="39" customWidth="1"/>
    <col min="17" max="256" width="11.42578125" style="39"/>
    <col min="257" max="257" width="3.7109375" style="39" customWidth="1"/>
    <col min="258" max="258" width="7.7109375" style="39" customWidth="1"/>
    <col min="259" max="259" width="13.7109375" style="39" customWidth="1"/>
    <col min="260" max="271" width="7.7109375" style="39" customWidth="1"/>
    <col min="272" max="272" width="3.7109375" style="39" customWidth="1"/>
    <col min="273" max="512" width="11.42578125" style="39"/>
    <col min="513" max="513" width="3.7109375" style="39" customWidth="1"/>
    <col min="514" max="514" width="7.7109375" style="39" customWidth="1"/>
    <col min="515" max="515" width="13.7109375" style="39" customWidth="1"/>
    <col min="516" max="527" width="7.7109375" style="39" customWidth="1"/>
    <col min="528" max="528" width="3.7109375" style="39" customWidth="1"/>
    <col min="529" max="768" width="11.42578125" style="39"/>
    <col min="769" max="769" width="3.7109375" style="39" customWidth="1"/>
    <col min="770" max="770" width="7.7109375" style="39" customWidth="1"/>
    <col min="771" max="771" width="13.7109375" style="39" customWidth="1"/>
    <col min="772" max="783" width="7.7109375" style="39" customWidth="1"/>
    <col min="784" max="784" width="3.7109375" style="39" customWidth="1"/>
    <col min="785" max="1024" width="11.42578125" style="39"/>
    <col min="1025" max="1025" width="3.7109375" style="39" customWidth="1"/>
    <col min="1026" max="1026" width="7.7109375" style="39" customWidth="1"/>
    <col min="1027" max="1027" width="13.7109375" style="39" customWidth="1"/>
    <col min="1028" max="1039" width="7.7109375" style="39" customWidth="1"/>
    <col min="1040" max="1040" width="3.7109375" style="39" customWidth="1"/>
    <col min="1041" max="1280" width="11.42578125" style="39"/>
    <col min="1281" max="1281" width="3.7109375" style="39" customWidth="1"/>
    <col min="1282" max="1282" width="7.7109375" style="39" customWidth="1"/>
    <col min="1283" max="1283" width="13.7109375" style="39" customWidth="1"/>
    <col min="1284" max="1295" width="7.7109375" style="39" customWidth="1"/>
    <col min="1296" max="1296" width="3.7109375" style="39" customWidth="1"/>
    <col min="1297" max="1536" width="11.42578125" style="39"/>
    <col min="1537" max="1537" width="3.7109375" style="39" customWidth="1"/>
    <col min="1538" max="1538" width="7.7109375" style="39" customWidth="1"/>
    <col min="1539" max="1539" width="13.7109375" style="39" customWidth="1"/>
    <col min="1540" max="1551" width="7.7109375" style="39" customWidth="1"/>
    <col min="1552" max="1552" width="3.7109375" style="39" customWidth="1"/>
    <col min="1553" max="1792" width="11.42578125" style="39"/>
    <col min="1793" max="1793" width="3.7109375" style="39" customWidth="1"/>
    <col min="1794" max="1794" width="7.7109375" style="39" customWidth="1"/>
    <col min="1795" max="1795" width="13.7109375" style="39" customWidth="1"/>
    <col min="1796" max="1807" width="7.7109375" style="39" customWidth="1"/>
    <col min="1808" max="1808" width="3.7109375" style="39" customWidth="1"/>
    <col min="1809" max="2048" width="11.42578125" style="39"/>
    <col min="2049" max="2049" width="3.7109375" style="39" customWidth="1"/>
    <col min="2050" max="2050" width="7.7109375" style="39" customWidth="1"/>
    <col min="2051" max="2051" width="13.7109375" style="39" customWidth="1"/>
    <col min="2052" max="2063" width="7.7109375" style="39" customWidth="1"/>
    <col min="2064" max="2064" width="3.7109375" style="39" customWidth="1"/>
    <col min="2065" max="2304" width="11.42578125" style="39"/>
    <col min="2305" max="2305" width="3.7109375" style="39" customWidth="1"/>
    <col min="2306" max="2306" width="7.7109375" style="39" customWidth="1"/>
    <col min="2307" max="2307" width="13.7109375" style="39" customWidth="1"/>
    <col min="2308" max="2319" width="7.7109375" style="39" customWidth="1"/>
    <col min="2320" max="2320" width="3.7109375" style="39" customWidth="1"/>
    <col min="2321" max="2560" width="11.42578125" style="39"/>
    <col min="2561" max="2561" width="3.7109375" style="39" customWidth="1"/>
    <col min="2562" max="2562" width="7.7109375" style="39" customWidth="1"/>
    <col min="2563" max="2563" width="13.7109375" style="39" customWidth="1"/>
    <col min="2564" max="2575" width="7.7109375" style="39" customWidth="1"/>
    <col min="2576" max="2576" width="3.7109375" style="39" customWidth="1"/>
    <col min="2577" max="2816" width="11.42578125" style="39"/>
    <col min="2817" max="2817" width="3.7109375" style="39" customWidth="1"/>
    <col min="2818" max="2818" width="7.7109375" style="39" customWidth="1"/>
    <col min="2819" max="2819" width="13.7109375" style="39" customWidth="1"/>
    <col min="2820" max="2831" width="7.7109375" style="39" customWidth="1"/>
    <col min="2832" max="2832" width="3.7109375" style="39" customWidth="1"/>
    <col min="2833" max="3072" width="11.42578125" style="39"/>
    <col min="3073" max="3073" width="3.7109375" style="39" customWidth="1"/>
    <col min="3074" max="3074" width="7.7109375" style="39" customWidth="1"/>
    <col min="3075" max="3075" width="13.7109375" style="39" customWidth="1"/>
    <col min="3076" max="3087" width="7.7109375" style="39" customWidth="1"/>
    <col min="3088" max="3088" width="3.7109375" style="39" customWidth="1"/>
    <col min="3089" max="3328" width="11.42578125" style="39"/>
    <col min="3329" max="3329" width="3.7109375" style="39" customWidth="1"/>
    <col min="3330" max="3330" width="7.7109375" style="39" customWidth="1"/>
    <col min="3331" max="3331" width="13.7109375" style="39" customWidth="1"/>
    <col min="3332" max="3343" width="7.7109375" style="39" customWidth="1"/>
    <col min="3344" max="3344" width="3.7109375" style="39" customWidth="1"/>
    <col min="3345" max="3584" width="11.42578125" style="39"/>
    <col min="3585" max="3585" width="3.7109375" style="39" customWidth="1"/>
    <col min="3586" max="3586" width="7.7109375" style="39" customWidth="1"/>
    <col min="3587" max="3587" width="13.7109375" style="39" customWidth="1"/>
    <col min="3588" max="3599" width="7.7109375" style="39" customWidth="1"/>
    <col min="3600" max="3600" width="3.7109375" style="39" customWidth="1"/>
    <col min="3601" max="3840" width="11.42578125" style="39"/>
    <col min="3841" max="3841" width="3.7109375" style="39" customWidth="1"/>
    <col min="3842" max="3842" width="7.7109375" style="39" customWidth="1"/>
    <col min="3843" max="3843" width="13.7109375" style="39" customWidth="1"/>
    <col min="3844" max="3855" width="7.7109375" style="39" customWidth="1"/>
    <col min="3856" max="3856" width="3.7109375" style="39" customWidth="1"/>
    <col min="3857" max="4096" width="11.42578125" style="39"/>
    <col min="4097" max="4097" width="3.7109375" style="39" customWidth="1"/>
    <col min="4098" max="4098" width="7.7109375" style="39" customWidth="1"/>
    <col min="4099" max="4099" width="13.7109375" style="39" customWidth="1"/>
    <col min="4100" max="4111" width="7.7109375" style="39" customWidth="1"/>
    <col min="4112" max="4112" width="3.7109375" style="39" customWidth="1"/>
    <col min="4113" max="4352" width="11.42578125" style="39"/>
    <col min="4353" max="4353" width="3.7109375" style="39" customWidth="1"/>
    <col min="4354" max="4354" width="7.7109375" style="39" customWidth="1"/>
    <col min="4355" max="4355" width="13.7109375" style="39" customWidth="1"/>
    <col min="4356" max="4367" width="7.7109375" style="39" customWidth="1"/>
    <col min="4368" max="4368" width="3.7109375" style="39" customWidth="1"/>
    <col min="4369" max="4608" width="11.42578125" style="39"/>
    <col min="4609" max="4609" width="3.7109375" style="39" customWidth="1"/>
    <col min="4610" max="4610" width="7.7109375" style="39" customWidth="1"/>
    <col min="4611" max="4611" width="13.7109375" style="39" customWidth="1"/>
    <col min="4612" max="4623" width="7.7109375" style="39" customWidth="1"/>
    <col min="4624" max="4624" width="3.7109375" style="39" customWidth="1"/>
    <col min="4625" max="4864" width="11.42578125" style="39"/>
    <col min="4865" max="4865" width="3.7109375" style="39" customWidth="1"/>
    <col min="4866" max="4866" width="7.7109375" style="39" customWidth="1"/>
    <col min="4867" max="4867" width="13.7109375" style="39" customWidth="1"/>
    <col min="4868" max="4879" width="7.7109375" style="39" customWidth="1"/>
    <col min="4880" max="4880" width="3.7109375" style="39" customWidth="1"/>
    <col min="4881" max="5120" width="11.42578125" style="39"/>
    <col min="5121" max="5121" width="3.7109375" style="39" customWidth="1"/>
    <col min="5122" max="5122" width="7.7109375" style="39" customWidth="1"/>
    <col min="5123" max="5123" width="13.7109375" style="39" customWidth="1"/>
    <col min="5124" max="5135" width="7.7109375" style="39" customWidth="1"/>
    <col min="5136" max="5136" width="3.7109375" style="39" customWidth="1"/>
    <col min="5137" max="5376" width="11.42578125" style="39"/>
    <col min="5377" max="5377" width="3.7109375" style="39" customWidth="1"/>
    <col min="5378" max="5378" width="7.7109375" style="39" customWidth="1"/>
    <col min="5379" max="5379" width="13.7109375" style="39" customWidth="1"/>
    <col min="5380" max="5391" width="7.7109375" style="39" customWidth="1"/>
    <col min="5392" max="5392" width="3.7109375" style="39" customWidth="1"/>
    <col min="5393" max="5632" width="11.42578125" style="39"/>
    <col min="5633" max="5633" width="3.7109375" style="39" customWidth="1"/>
    <col min="5634" max="5634" width="7.7109375" style="39" customWidth="1"/>
    <col min="5635" max="5635" width="13.7109375" style="39" customWidth="1"/>
    <col min="5636" max="5647" width="7.7109375" style="39" customWidth="1"/>
    <col min="5648" max="5648" width="3.7109375" style="39" customWidth="1"/>
    <col min="5649" max="5888" width="11.42578125" style="39"/>
    <col min="5889" max="5889" width="3.7109375" style="39" customWidth="1"/>
    <col min="5890" max="5890" width="7.7109375" style="39" customWidth="1"/>
    <col min="5891" max="5891" width="13.7109375" style="39" customWidth="1"/>
    <col min="5892" max="5903" width="7.7109375" style="39" customWidth="1"/>
    <col min="5904" max="5904" width="3.7109375" style="39" customWidth="1"/>
    <col min="5905" max="6144" width="11.42578125" style="39"/>
    <col min="6145" max="6145" width="3.7109375" style="39" customWidth="1"/>
    <col min="6146" max="6146" width="7.7109375" style="39" customWidth="1"/>
    <col min="6147" max="6147" width="13.7109375" style="39" customWidth="1"/>
    <col min="6148" max="6159" width="7.7109375" style="39" customWidth="1"/>
    <col min="6160" max="6160" width="3.7109375" style="39" customWidth="1"/>
    <col min="6161" max="6400" width="11.42578125" style="39"/>
    <col min="6401" max="6401" width="3.7109375" style="39" customWidth="1"/>
    <col min="6402" max="6402" width="7.7109375" style="39" customWidth="1"/>
    <col min="6403" max="6403" width="13.7109375" style="39" customWidth="1"/>
    <col min="6404" max="6415" width="7.7109375" style="39" customWidth="1"/>
    <col min="6416" max="6416" width="3.7109375" style="39" customWidth="1"/>
    <col min="6417" max="6656" width="11.42578125" style="39"/>
    <col min="6657" max="6657" width="3.7109375" style="39" customWidth="1"/>
    <col min="6658" max="6658" width="7.7109375" style="39" customWidth="1"/>
    <col min="6659" max="6659" width="13.7109375" style="39" customWidth="1"/>
    <col min="6660" max="6671" width="7.7109375" style="39" customWidth="1"/>
    <col min="6672" max="6672" width="3.7109375" style="39" customWidth="1"/>
    <col min="6673" max="6912" width="11.42578125" style="39"/>
    <col min="6913" max="6913" width="3.7109375" style="39" customWidth="1"/>
    <col min="6914" max="6914" width="7.7109375" style="39" customWidth="1"/>
    <col min="6915" max="6915" width="13.7109375" style="39" customWidth="1"/>
    <col min="6916" max="6927" width="7.7109375" style="39" customWidth="1"/>
    <col min="6928" max="6928" width="3.7109375" style="39" customWidth="1"/>
    <col min="6929" max="7168" width="11.42578125" style="39"/>
    <col min="7169" max="7169" width="3.7109375" style="39" customWidth="1"/>
    <col min="7170" max="7170" width="7.7109375" style="39" customWidth="1"/>
    <col min="7171" max="7171" width="13.7109375" style="39" customWidth="1"/>
    <col min="7172" max="7183" width="7.7109375" style="39" customWidth="1"/>
    <col min="7184" max="7184" width="3.7109375" style="39" customWidth="1"/>
    <col min="7185" max="7424" width="11.42578125" style="39"/>
    <col min="7425" max="7425" width="3.7109375" style="39" customWidth="1"/>
    <col min="7426" max="7426" width="7.7109375" style="39" customWidth="1"/>
    <col min="7427" max="7427" width="13.7109375" style="39" customWidth="1"/>
    <col min="7428" max="7439" width="7.7109375" style="39" customWidth="1"/>
    <col min="7440" max="7440" width="3.7109375" style="39" customWidth="1"/>
    <col min="7441" max="7680" width="11.42578125" style="39"/>
    <col min="7681" max="7681" width="3.7109375" style="39" customWidth="1"/>
    <col min="7682" max="7682" width="7.7109375" style="39" customWidth="1"/>
    <col min="7683" max="7683" width="13.7109375" style="39" customWidth="1"/>
    <col min="7684" max="7695" width="7.7109375" style="39" customWidth="1"/>
    <col min="7696" max="7696" width="3.7109375" style="39" customWidth="1"/>
    <col min="7697" max="7936" width="11.42578125" style="39"/>
    <col min="7937" max="7937" width="3.7109375" style="39" customWidth="1"/>
    <col min="7938" max="7938" width="7.7109375" style="39" customWidth="1"/>
    <col min="7939" max="7939" width="13.7109375" style="39" customWidth="1"/>
    <col min="7940" max="7951" width="7.7109375" style="39" customWidth="1"/>
    <col min="7952" max="7952" width="3.7109375" style="39" customWidth="1"/>
    <col min="7953" max="8192" width="11.42578125" style="39"/>
    <col min="8193" max="8193" width="3.7109375" style="39" customWidth="1"/>
    <col min="8194" max="8194" width="7.7109375" style="39" customWidth="1"/>
    <col min="8195" max="8195" width="13.7109375" style="39" customWidth="1"/>
    <col min="8196" max="8207" width="7.7109375" style="39" customWidth="1"/>
    <col min="8208" max="8208" width="3.7109375" style="39" customWidth="1"/>
    <col min="8209" max="8448" width="11.42578125" style="39"/>
    <col min="8449" max="8449" width="3.7109375" style="39" customWidth="1"/>
    <col min="8450" max="8450" width="7.7109375" style="39" customWidth="1"/>
    <col min="8451" max="8451" width="13.7109375" style="39" customWidth="1"/>
    <col min="8452" max="8463" width="7.7109375" style="39" customWidth="1"/>
    <col min="8464" max="8464" width="3.7109375" style="39" customWidth="1"/>
    <col min="8465" max="8704" width="11.42578125" style="39"/>
    <col min="8705" max="8705" width="3.7109375" style="39" customWidth="1"/>
    <col min="8706" max="8706" width="7.7109375" style="39" customWidth="1"/>
    <col min="8707" max="8707" width="13.7109375" style="39" customWidth="1"/>
    <col min="8708" max="8719" width="7.7109375" style="39" customWidth="1"/>
    <col min="8720" max="8720" width="3.7109375" style="39" customWidth="1"/>
    <col min="8721" max="8960" width="11.42578125" style="39"/>
    <col min="8961" max="8961" width="3.7109375" style="39" customWidth="1"/>
    <col min="8962" max="8962" width="7.7109375" style="39" customWidth="1"/>
    <col min="8963" max="8963" width="13.7109375" style="39" customWidth="1"/>
    <col min="8964" max="8975" width="7.7109375" style="39" customWidth="1"/>
    <col min="8976" max="8976" width="3.7109375" style="39" customWidth="1"/>
    <col min="8977" max="9216" width="11.42578125" style="39"/>
    <col min="9217" max="9217" width="3.7109375" style="39" customWidth="1"/>
    <col min="9218" max="9218" width="7.7109375" style="39" customWidth="1"/>
    <col min="9219" max="9219" width="13.7109375" style="39" customWidth="1"/>
    <col min="9220" max="9231" width="7.7109375" style="39" customWidth="1"/>
    <col min="9232" max="9232" width="3.7109375" style="39" customWidth="1"/>
    <col min="9233" max="9472" width="11.42578125" style="39"/>
    <col min="9473" max="9473" width="3.7109375" style="39" customWidth="1"/>
    <col min="9474" max="9474" width="7.7109375" style="39" customWidth="1"/>
    <col min="9475" max="9475" width="13.7109375" style="39" customWidth="1"/>
    <col min="9476" max="9487" width="7.7109375" style="39" customWidth="1"/>
    <col min="9488" max="9488" width="3.7109375" style="39" customWidth="1"/>
    <col min="9489" max="9728" width="11.42578125" style="39"/>
    <col min="9729" max="9729" width="3.7109375" style="39" customWidth="1"/>
    <col min="9730" max="9730" width="7.7109375" style="39" customWidth="1"/>
    <col min="9731" max="9731" width="13.7109375" style="39" customWidth="1"/>
    <col min="9732" max="9743" width="7.7109375" style="39" customWidth="1"/>
    <col min="9744" max="9744" width="3.7109375" style="39" customWidth="1"/>
    <col min="9745" max="9984" width="11.42578125" style="39"/>
    <col min="9985" max="9985" width="3.7109375" style="39" customWidth="1"/>
    <col min="9986" max="9986" width="7.7109375" style="39" customWidth="1"/>
    <col min="9987" max="9987" width="13.7109375" style="39" customWidth="1"/>
    <col min="9988" max="9999" width="7.7109375" style="39" customWidth="1"/>
    <col min="10000" max="10000" width="3.7109375" style="39" customWidth="1"/>
    <col min="10001" max="10240" width="11.42578125" style="39"/>
    <col min="10241" max="10241" width="3.7109375" style="39" customWidth="1"/>
    <col min="10242" max="10242" width="7.7109375" style="39" customWidth="1"/>
    <col min="10243" max="10243" width="13.7109375" style="39" customWidth="1"/>
    <col min="10244" max="10255" width="7.7109375" style="39" customWidth="1"/>
    <col min="10256" max="10256" width="3.7109375" style="39" customWidth="1"/>
    <col min="10257" max="10496" width="11.42578125" style="39"/>
    <col min="10497" max="10497" width="3.7109375" style="39" customWidth="1"/>
    <col min="10498" max="10498" width="7.7109375" style="39" customWidth="1"/>
    <col min="10499" max="10499" width="13.7109375" style="39" customWidth="1"/>
    <col min="10500" max="10511" width="7.7109375" style="39" customWidth="1"/>
    <col min="10512" max="10512" width="3.7109375" style="39" customWidth="1"/>
    <col min="10513" max="10752" width="11.42578125" style="39"/>
    <col min="10753" max="10753" width="3.7109375" style="39" customWidth="1"/>
    <col min="10754" max="10754" width="7.7109375" style="39" customWidth="1"/>
    <col min="10755" max="10755" width="13.7109375" style="39" customWidth="1"/>
    <col min="10756" max="10767" width="7.7109375" style="39" customWidth="1"/>
    <col min="10768" max="10768" width="3.7109375" style="39" customWidth="1"/>
    <col min="10769" max="11008" width="11.42578125" style="39"/>
    <col min="11009" max="11009" width="3.7109375" style="39" customWidth="1"/>
    <col min="11010" max="11010" width="7.7109375" style="39" customWidth="1"/>
    <col min="11011" max="11011" width="13.7109375" style="39" customWidth="1"/>
    <col min="11012" max="11023" width="7.7109375" style="39" customWidth="1"/>
    <col min="11024" max="11024" width="3.7109375" style="39" customWidth="1"/>
    <col min="11025" max="11264" width="11.42578125" style="39"/>
    <col min="11265" max="11265" width="3.7109375" style="39" customWidth="1"/>
    <col min="11266" max="11266" width="7.7109375" style="39" customWidth="1"/>
    <col min="11267" max="11267" width="13.7109375" style="39" customWidth="1"/>
    <col min="11268" max="11279" width="7.7109375" style="39" customWidth="1"/>
    <col min="11280" max="11280" width="3.7109375" style="39" customWidth="1"/>
    <col min="11281" max="11520" width="11.42578125" style="39"/>
    <col min="11521" max="11521" width="3.7109375" style="39" customWidth="1"/>
    <col min="11522" max="11522" width="7.7109375" style="39" customWidth="1"/>
    <col min="11523" max="11523" width="13.7109375" style="39" customWidth="1"/>
    <col min="11524" max="11535" width="7.7109375" style="39" customWidth="1"/>
    <col min="11536" max="11536" width="3.7109375" style="39" customWidth="1"/>
    <col min="11537" max="11776" width="11.42578125" style="39"/>
    <col min="11777" max="11777" width="3.7109375" style="39" customWidth="1"/>
    <col min="11778" max="11778" width="7.7109375" style="39" customWidth="1"/>
    <col min="11779" max="11779" width="13.7109375" style="39" customWidth="1"/>
    <col min="11780" max="11791" width="7.7109375" style="39" customWidth="1"/>
    <col min="11792" max="11792" width="3.7109375" style="39" customWidth="1"/>
    <col min="11793" max="12032" width="11.42578125" style="39"/>
    <col min="12033" max="12033" width="3.7109375" style="39" customWidth="1"/>
    <col min="12034" max="12034" width="7.7109375" style="39" customWidth="1"/>
    <col min="12035" max="12035" width="13.7109375" style="39" customWidth="1"/>
    <col min="12036" max="12047" width="7.7109375" style="39" customWidth="1"/>
    <col min="12048" max="12048" width="3.7109375" style="39" customWidth="1"/>
    <col min="12049" max="12288" width="11.42578125" style="39"/>
    <col min="12289" max="12289" width="3.7109375" style="39" customWidth="1"/>
    <col min="12290" max="12290" width="7.7109375" style="39" customWidth="1"/>
    <col min="12291" max="12291" width="13.7109375" style="39" customWidth="1"/>
    <col min="12292" max="12303" width="7.7109375" style="39" customWidth="1"/>
    <col min="12304" max="12304" width="3.7109375" style="39" customWidth="1"/>
    <col min="12305" max="12544" width="11.42578125" style="39"/>
    <col min="12545" max="12545" width="3.7109375" style="39" customWidth="1"/>
    <col min="12546" max="12546" width="7.7109375" style="39" customWidth="1"/>
    <col min="12547" max="12547" width="13.7109375" style="39" customWidth="1"/>
    <col min="12548" max="12559" width="7.7109375" style="39" customWidth="1"/>
    <col min="12560" max="12560" width="3.7109375" style="39" customWidth="1"/>
    <col min="12561" max="12800" width="11.42578125" style="39"/>
    <col min="12801" max="12801" width="3.7109375" style="39" customWidth="1"/>
    <col min="12802" max="12802" width="7.7109375" style="39" customWidth="1"/>
    <col min="12803" max="12803" width="13.7109375" style="39" customWidth="1"/>
    <col min="12804" max="12815" width="7.7109375" style="39" customWidth="1"/>
    <col min="12816" max="12816" width="3.7109375" style="39" customWidth="1"/>
    <col min="12817" max="13056" width="11.42578125" style="39"/>
    <col min="13057" max="13057" width="3.7109375" style="39" customWidth="1"/>
    <col min="13058" max="13058" width="7.7109375" style="39" customWidth="1"/>
    <col min="13059" max="13059" width="13.7109375" style="39" customWidth="1"/>
    <col min="13060" max="13071" width="7.7109375" style="39" customWidth="1"/>
    <col min="13072" max="13072" width="3.7109375" style="39" customWidth="1"/>
    <col min="13073" max="13312" width="11.42578125" style="39"/>
    <col min="13313" max="13313" width="3.7109375" style="39" customWidth="1"/>
    <col min="13314" max="13314" width="7.7109375" style="39" customWidth="1"/>
    <col min="13315" max="13315" width="13.7109375" style="39" customWidth="1"/>
    <col min="13316" max="13327" width="7.7109375" style="39" customWidth="1"/>
    <col min="13328" max="13328" width="3.7109375" style="39" customWidth="1"/>
    <col min="13329" max="13568" width="11.42578125" style="39"/>
    <col min="13569" max="13569" width="3.7109375" style="39" customWidth="1"/>
    <col min="13570" max="13570" width="7.7109375" style="39" customWidth="1"/>
    <col min="13571" max="13571" width="13.7109375" style="39" customWidth="1"/>
    <col min="13572" max="13583" width="7.7109375" style="39" customWidth="1"/>
    <col min="13584" max="13584" width="3.7109375" style="39" customWidth="1"/>
    <col min="13585" max="13824" width="11.42578125" style="39"/>
    <col min="13825" max="13825" width="3.7109375" style="39" customWidth="1"/>
    <col min="13826" max="13826" width="7.7109375" style="39" customWidth="1"/>
    <col min="13827" max="13827" width="13.7109375" style="39" customWidth="1"/>
    <col min="13828" max="13839" width="7.7109375" style="39" customWidth="1"/>
    <col min="13840" max="13840" width="3.7109375" style="39" customWidth="1"/>
    <col min="13841" max="14080" width="11.42578125" style="39"/>
    <col min="14081" max="14081" width="3.7109375" style="39" customWidth="1"/>
    <col min="14082" max="14082" width="7.7109375" style="39" customWidth="1"/>
    <col min="14083" max="14083" width="13.7109375" style="39" customWidth="1"/>
    <col min="14084" max="14095" width="7.7109375" style="39" customWidth="1"/>
    <col min="14096" max="14096" width="3.7109375" style="39" customWidth="1"/>
    <col min="14097" max="14336" width="11.42578125" style="39"/>
    <col min="14337" max="14337" width="3.7109375" style="39" customWidth="1"/>
    <col min="14338" max="14338" width="7.7109375" style="39" customWidth="1"/>
    <col min="14339" max="14339" width="13.7109375" style="39" customWidth="1"/>
    <col min="14340" max="14351" width="7.7109375" style="39" customWidth="1"/>
    <col min="14352" max="14352" width="3.7109375" style="39" customWidth="1"/>
    <col min="14353" max="14592" width="11.42578125" style="39"/>
    <col min="14593" max="14593" width="3.7109375" style="39" customWidth="1"/>
    <col min="14594" max="14594" width="7.7109375" style="39" customWidth="1"/>
    <col min="14595" max="14595" width="13.7109375" style="39" customWidth="1"/>
    <col min="14596" max="14607" width="7.7109375" style="39" customWidth="1"/>
    <col min="14608" max="14608" width="3.7109375" style="39" customWidth="1"/>
    <col min="14609" max="14848" width="11.42578125" style="39"/>
    <col min="14849" max="14849" width="3.7109375" style="39" customWidth="1"/>
    <col min="14850" max="14850" width="7.7109375" style="39" customWidth="1"/>
    <col min="14851" max="14851" width="13.7109375" style="39" customWidth="1"/>
    <col min="14852" max="14863" width="7.7109375" style="39" customWidth="1"/>
    <col min="14864" max="14864" width="3.7109375" style="39" customWidth="1"/>
    <col min="14865" max="15104" width="11.42578125" style="39"/>
    <col min="15105" max="15105" width="3.7109375" style="39" customWidth="1"/>
    <col min="15106" max="15106" width="7.7109375" style="39" customWidth="1"/>
    <col min="15107" max="15107" width="13.7109375" style="39" customWidth="1"/>
    <col min="15108" max="15119" width="7.7109375" style="39" customWidth="1"/>
    <col min="15120" max="15120" width="3.7109375" style="39" customWidth="1"/>
    <col min="15121" max="15360" width="11.42578125" style="39"/>
    <col min="15361" max="15361" width="3.7109375" style="39" customWidth="1"/>
    <col min="15362" max="15362" width="7.7109375" style="39" customWidth="1"/>
    <col min="15363" max="15363" width="13.7109375" style="39" customWidth="1"/>
    <col min="15364" max="15375" width="7.7109375" style="39" customWidth="1"/>
    <col min="15376" max="15376" width="3.7109375" style="39" customWidth="1"/>
    <col min="15377" max="15616" width="11.42578125" style="39"/>
    <col min="15617" max="15617" width="3.7109375" style="39" customWidth="1"/>
    <col min="15618" max="15618" width="7.7109375" style="39" customWidth="1"/>
    <col min="15619" max="15619" width="13.7109375" style="39" customWidth="1"/>
    <col min="15620" max="15631" width="7.7109375" style="39" customWidth="1"/>
    <col min="15632" max="15632" width="3.7109375" style="39" customWidth="1"/>
    <col min="15633" max="15872" width="11.42578125" style="39"/>
    <col min="15873" max="15873" width="3.7109375" style="39" customWidth="1"/>
    <col min="15874" max="15874" width="7.7109375" style="39" customWidth="1"/>
    <col min="15875" max="15875" width="13.7109375" style="39" customWidth="1"/>
    <col min="15876" max="15887" width="7.7109375" style="39" customWidth="1"/>
    <col min="15888" max="15888" width="3.7109375" style="39" customWidth="1"/>
    <col min="15889" max="16128" width="11.42578125" style="39"/>
    <col min="16129" max="16129" width="3.7109375" style="39" customWidth="1"/>
    <col min="16130" max="16130" width="7.7109375" style="39" customWidth="1"/>
    <col min="16131" max="16131" width="13.7109375" style="39" customWidth="1"/>
    <col min="16132" max="16143" width="7.7109375" style="39" customWidth="1"/>
    <col min="16144" max="16144" width="3.7109375" style="39" customWidth="1"/>
    <col min="16145" max="16384" width="11.42578125" style="39"/>
  </cols>
  <sheetData>
    <row r="1" spans="1:16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6" x14ac:dyDescent="0.25">
      <c r="A2" s="30"/>
      <c r="B2" s="40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1"/>
      <c r="O2" s="40"/>
      <c r="P2" s="30"/>
    </row>
    <row r="3" spans="1:16" x14ac:dyDescent="0.25">
      <c r="A3" s="30"/>
      <c r="B3" s="30"/>
      <c r="C3" s="92"/>
      <c r="D3" s="93"/>
      <c r="E3" s="93"/>
      <c r="F3" s="93"/>
      <c r="G3" s="93"/>
      <c r="H3" s="93"/>
      <c r="I3" s="93"/>
      <c r="J3" s="93"/>
      <c r="K3" s="93"/>
      <c r="L3" s="93"/>
      <c r="M3" s="93"/>
      <c r="N3" s="94"/>
      <c r="O3" s="30"/>
      <c r="P3" s="30"/>
    </row>
    <row r="4" spans="1:16" x14ac:dyDescent="0.25">
      <c r="A4" s="30"/>
      <c r="B4" s="30"/>
      <c r="C4" s="92"/>
      <c r="D4" s="93"/>
      <c r="E4" s="93"/>
      <c r="F4" s="93"/>
      <c r="G4" s="93"/>
      <c r="H4" s="93"/>
      <c r="I4" s="93"/>
      <c r="J4" s="93"/>
      <c r="K4" s="93"/>
      <c r="L4" s="93"/>
      <c r="M4" s="93"/>
      <c r="N4" s="94"/>
      <c r="O4" s="30"/>
      <c r="P4" s="30"/>
    </row>
    <row r="5" spans="1:16" x14ac:dyDescent="0.25">
      <c r="A5" s="30"/>
      <c r="B5" s="30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94"/>
      <c r="O5" s="30"/>
      <c r="P5" s="30"/>
    </row>
    <row r="6" spans="1:16" x14ac:dyDescent="0.25">
      <c r="A6" s="30"/>
      <c r="B6" s="30"/>
      <c r="C6" s="92"/>
      <c r="D6" s="93"/>
      <c r="E6" s="93"/>
      <c r="F6" s="93"/>
      <c r="G6" s="93"/>
      <c r="H6" s="93"/>
      <c r="I6" s="93"/>
      <c r="J6" s="93"/>
      <c r="K6" s="93"/>
      <c r="L6" s="93"/>
      <c r="M6" s="93"/>
      <c r="N6" s="94"/>
      <c r="O6" s="30"/>
      <c r="P6" s="30"/>
    </row>
    <row r="7" spans="1:16" x14ac:dyDescent="0.25">
      <c r="A7" s="30"/>
      <c r="B7" s="30"/>
      <c r="C7" s="95"/>
      <c r="D7" s="96"/>
      <c r="E7" s="96"/>
      <c r="F7" s="96"/>
      <c r="G7" s="96"/>
      <c r="H7" s="96"/>
      <c r="I7" s="96"/>
      <c r="J7" s="96"/>
      <c r="K7" s="96"/>
      <c r="L7" s="96"/>
      <c r="M7" s="96"/>
      <c r="N7" s="97"/>
      <c r="O7" s="30"/>
      <c r="P7" s="30"/>
    </row>
    <row r="8" spans="1:16" ht="15.75" thickBot="1" x14ac:dyDescent="0.3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ht="32.25" thickBot="1" x14ac:dyDescent="0.3">
      <c r="A9" s="30"/>
      <c r="B9" s="98" t="s">
        <v>129</v>
      </c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100"/>
      <c r="P9" s="30"/>
    </row>
    <row r="10" spans="1:16" ht="18.75" x14ac:dyDescent="0.25">
      <c r="A10" s="30"/>
      <c r="B10" s="101" t="s">
        <v>130</v>
      </c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30"/>
    </row>
    <row r="11" spans="1:16" ht="15" customHeight="1" x14ac:dyDescent="0.25">
      <c r="A11" s="30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30"/>
    </row>
    <row r="12" spans="1:16" x14ac:dyDescent="0.25">
      <c r="A12" s="30"/>
      <c r="B12" s="102" t="s">
        <v>131</v>
      </c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30"/>
    </row>
    <row r="13" spans="1:16" x14ac:dyDescent="0.25">
      <c r="A13" s="30"/>
      <c r="B13" s="102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30"/>
    </row>
    <row r="14" spans="1:16" x14ac:dyDescent="0.25">
      <c r="A14" s="30"/>
      <c r="B14" s="103" t="s">
        <v>132</v>
      </c>
      <c r="C14" s="103"/>
      <c r="D14" s="104" t="s">
        <v>133</v>
      </c>
      <c r="E14" s="104"/>
      <c r="F14" s="104"/>
      <c r="G14" s="104" t="s">
        <v>134</v>
      </c>
      <c r="H14" s="104"/>
      <c r="I14" s="104"/>
      <c r="J14" s="104" t="s">
        <v>135</v>
      </c>
      <c r="K14" s="104"/>
      <c r="L14" s="104"/>
      <c r="M14" s="105"/>
      <c r="N14" s="105"/>
      <c r="O14" s="105"/>
      <c r="P14" s="30"/>
    </row>
    <row r="15" spans="1:16" ht="35.1" customHeight="1" x14ac:dyDescent="0.25">
      <c r="A15" s="30"/>
      <c r="B15" s="106" t="s">
        <v>136</v>
      </c>
      <c r="C15" s="106"/>
      <c r="D15" s="107">
        <v>0.19</v>
      </c>
      <c r="E15" s="108"/>
      <c r="F15" s="108"/>
      <c r="G15" s="109">
        <v>0.04</v>
      </c>
      <c r="H15" s="110"/>
      <c r="I15" s="110"/>
      <c r="J15" s="111">
        <v>0</v>
      </c>
      <c r="K15" s="112"/>
      <c r="L15" s="112"/>
      <c r="M15" s="105"/>
      <c r="N15" s="105"/>
      <c r="O15" s="105"/>
      <c r="P15" s="30"/>
    </row>
    <row r="16" spans="1:16" ht="35.1" customHeight="1" x14ac:dyDescent="0.25">
      <c r="A16" s="30"/>
      <c r="B16" s="106" t="s">
        <v>137</v>
      </c>
      <c r="C16" s="106"/>
      <c r="D16" s="107">
        <v>0.15</v>
      </c>
      <c r="E16" s="108"/>
      <c r="F16" s="108"/>
      <c r="G16" s="109">
        <v>7.0000000000000007E-2</v>
      </c>
      <c r="H16" s="110"/>
      <c r="I16" s="110"/>
      <c r="J16" s="111">
        <v>0.08</v>
      </c>
      <c r="K16" s="112"/>
      <c r="L16" s="112"/>
      <c r="M16" s="105"/>
      <c r="N16" s="105"/>
      <c r="O16" s="105"/>
      <c r="P16" s="30"/>
    </row>
    <row r="17" spans="1:16" ht="45" customHeight="1" x14ac:dyDescent="0.25">
      <c r="A17" s="30"/>
      <c r="B17" s="106" t="s">
        <v>138</v>
      </c>
      <c r="C17" s="106"/>
      <c r="D17" s="111">
        <v>0.5</v>
      </c>
      <c r="E17" s="112"/>
      <c r="F17" s="112"/>
      <c r="G17" s="109">
        <v>0.4</v>
      </c>
      <c r="H17" s="110"/>
      <c r="I17" s="110"/>
      <c r="J17" s="107">
        <v>0.23</v>
      </c>
      <c r="K17" s="108"/>
      <c r="L17" s="108"/>
      <c r="M17" s="105"/>
      <c r="N17" s="105"/>
      <c r="O17" s="105"/>
      <c r="P17" s="30"/>
    </row>
    <row r="18" spans="1:16" ht="45" customHeight="1" x14ac:dyDescent="0.25">
      <c r="A18" s="30"/>
      <c r="B18" s="106" t="s">
        <v>139</v>
      </c>
      <c r="C18" s="106"/>
      <c r="D18" s="107">
        <v>0.35</v>
      </c>
      <c r="E18" s="108"/>
      <c r="F18" s="108"/>
      <c r="G18" s="109">
        <v>0.53</v>
      </c>
      <c r="H18" s="110"/>
      <c r="I18" s="110"/>
      <c r="J18" s="111">
        <v>0.77</v>
      </c>
      <c r="K18" s="112"/>
      <c r="L18" s="112"/>
      <c r="M18" s="105"/>
      <c r="N18" s="105"/>
      <c r="O18" s="105"/>
      <c r="P18" s="30"/>
    </row>
    <row r="19" spans="1:16" ht="35.1" customHeight="1" x14ac:dyDescent="0.25">
      <c r="A19" s="30"/>
      <c r="B19" s="106" t="s">
        <v>140</v>
      </c>
      <c r="C19" s="106"/>
      <c r="D19" s="114" t="s">
        <v>141</v>
      </c>
      <c r="E19" s="114"/>
      <c r="F19" s="114"/>
      <c r="G19" s="114" t="s">
        <v>141</v>
      </c>
      <c r="H19" s="114"/>
      <c r="I19" s="114"/>
      <c r="J19" s="114" t="s">
        <v>142</v>
      </c>
      <c r="K19" s="114"/>
      <c r="L19" s="114"/>
      <c r="M19" s="105"/>
      <c r="N19" s="105"/>
      <c r="O19" s="105"/>
      <c r="P19" s="30"/>
    </row>
    <row r="20" spans="1:16" x14ac:dyDescent="0.25">
      <c r="A20" s="30"/>
      <c r="B20" s="113"/>
      <c r="C20" s="11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30"/>
    </row>
    <row r="21" spans="1:16" x14ac:dyDescent="0.25">
      <c r="A21" s="3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30"/>
    </row>
    <row r="22" spans="1:16" x14ac:dyDescent="0.25">
      <c r="A22" s="30"/>
      <c r="B22" s="115" t="s">
        <v>143</v>
      </c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30"/>
    </row>
    <row r="23" spans="1:16" x14ac:dyDescent="0.25">
      <c r="A23" s="30"/>
      <c r="B23" s="115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30"/>
    </row>
    <row r="24" spans="1:16" x14ac:dyDescent="0.25">
      <c r="A24" s="30"/>
      <c r="B24" s="103" t="s">
        <v>132</v>
      </c>
      <c r="C24" s="103"/>
      <c r="D24" s="104" t="s">
        <v>133</v>
      </c>
      <c r="E24" s="104"/>
      <c r="F24" s="104"/>
      <c r="G24" s="104" t="s">
        <v>134</v>
      </c>
      <c r="H24" s="104"/>
      <c r="I24" s="104"/>
      <c r="J24" s="104" t="s">
        <v>135</v>
      </c>
      <c r="K24" s="104"/>
      <c r="L24" s="104"/>
      <c r="M24" s="105"/>
      <c r="N24" s="105"/>
      <c r="O24" s="105"/>
      <c r="P24" s="30"/>
    </row>
    <row r="25" spans="1:16" x14ac:dyDescent="0.25">
      <c r="A25" s="30"/>
      <c r="B25" s="114" t="s">
        <v>4</v>
      </c>
      <c r="C25" s="114"/>
      <c r="D25" s="116">
        <v>92</v>
      </c>
      <c r="E25" s="116"/>
      <c r="F25" s="116"/>
      <c r="G25" s="114">
        <v>140</v>
      </c>
      <c r="H25" s="114"/>
      <c r="I25" s="114"/>
      <c r="J25" s="117">
        <v>218</v>
      </c>
      <c r="K25" s="117"/>
      <c r="L25" s="117"/>
      <c r="M25" s="105"/>
      <c r="N25" s="105"/>
      <c r="O25" s="105"/>
      <c r="P25" s="30"/>
    </row>
    <row r="26" spans="1:16" x14ac:dyDescent="0.25">
      <c r="A26" s="30"/>
      <c r="B26" s="114" t="s">
        <v>5</v>
      </c>
      <c r="C26" s="114"/>
      <c r="D26" s="114">
        <v>82</v>
      </c>
      <c r="E26" s="114"/>
      <c r="F26" s="114"/>
      <c r="G26" s="114">
        <v>140</v>
      </c>
      <c r="H26" s="114"/>
      <c r="I26" s="114"/>
      <c r="J26" s="114">
        <v>208</v>
      </c>
      <c r="K26" s="114"/>
      <c r="L26" s="114"/>
      <c r="M26" s="105"/>
      <c r="N26" s="105"/>
      <c r="O26" s="105"/>
      <c r="P26" s="30"/>
    </row>
    <row r="27" spans="1:16" x14ac:dyDescent="0.25">
      <c r="A27" s="30"/>
      <c r="B27" s="114" t="s">
        <v>6</v>
      </c>
      <c r="C27" s="114"/>
      <c r="D27" s="114">
        <v>10</v>
      </c>
      <c r="E27" s="114"/>
      <c r="F27" s="114"/>
      <c r="G27" s="114">
        <v>0</v>
      </c>
      <c r="H27" s="114"/>
      <c r="I27" s="114"/>
      <c r="J27" s="114">
        <v>10</v>
      </c>
      <c r="K27" s="114"/>
      <c r="L27" s="114"/>
      <c r="M27" s="105"/>
      <c r="N27" s="105"/>
      <c r="O27" s="105"/>
      <c r="P27" s="30"/>
    </row>
    <row r="28" spans="1:16" x14ac:dyDescent="0.25">
      <c r="A28" s="30"/>
      <c r="B28" s="114" t="s">
        <v>7</v>
      </c>
      <c r="C28" s="114"/>
      <c r="D28" s="114">
        <v>0</v>
      </c>
      <c r="E28" s="114"/>
      <c r="F28" s="114"/>
      <c r="G28" s="114">
        <v>0</v>
      </c>
      <c r="H28" s="114"/>
      <c r="I28" s="114"/>
      <c r="J28" s="114">
        <v>0</v>
      </c>
      <c r="K28" s="114"/>
      <c r="L28" s="114"/>
      <c r="M28" s="105"/>
      <c r="N28" s="105"/>
      <c r="O28" s="105"/>
      <c r="P28" s="30"/>
    </row>
    <row r="29" spans="1:16" x14ac:dyDescent="0.25">
      <c r="A29" s="30"/>
      <c r="B29" s="114" t="s">
        <v>8</v>
      </c>
      <c r="C29" s="114"/>
      <c r="D29" s="118" t="s">
        <v>104</v>
      </c>
      <c r="E29" s="114"/>
      <c r="F29" s="114"/>
      <c r="G29" s="118" t="s">
        <v>104</v>
      </c>
      <c r="H29" s="114"/>
      <c r="I29" s="114"/>
      <c r="J29" s="118" t="s">
        <v>104</v>
      </c>
      <c r="K29" s="114"/>
      <c r="L29" s="114"/>
      <c r="M29" s="105"/>
      <c r="N29" s="105"/>
      <c r="O29" s="105"/>
      <c r="P29" s="30"/>
    </row>
    <row r="30" spans="1:16" x14ac:dyDescent="0.25">
      <c r="A30" s="30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30"/>
    </row>
    <row r="31" spans="1:16" x14ac:dyDescent="0.25">
      <c r="A31" s="3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30"/>
    </row>
    <row r="32" spans="1:16" x14ac:dyDescent="0.25">
      <c r="A32" s="30"/>
      <c r="B32" s="119" t="s">
        <v>144</v>
      </c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1"/>
      <c r="P32" s="30"/>
    </row>
    <row r="33" spans="1:16" x14ac:dyDescent="0.25">
      <c r="A33" s="30"/>
      <c r="B33" s="122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4"/>
      <c r="P33" s="30"/>
    </row>
    <row r="34" spans="1:16" x14ac:dyDescent="0.25">
      <c r="A34" s="30"/>
      <c r="B34" s="103" t="s">
        <v>132</v>
      </c>
      <c r="C34" s="103"/>
      <c r="D34" s="104" t="s">
        <v>133</v>
      </c>
      <c r="E34" s="104"/>
      <c r="F34" s="104"/>
      <c r="G34" s="104" t="s">
        <v>134</v>
      </c>
      <c r="H34" s="104"/>
      <c r="I34" s="104"/>
      <c r="J34" s="104" t="s">
        <v>135</v>
      </c>
      <c r="K34" s="104"/>
      <c r="L34" s="104"/>
      <c r="M34" s="125"/>
      <c r="N34" s="125"/>
      <c r="O34" s="125"/>
      <c r="P34" s="30"/>
    </row>
    <row r="35" spans="1:16" x14ac:dyDescent="0.25">
      <c r="A35" s="30"/>
      <c r="B35" s="114" t="s">
        <v>144</v>
      </c>
      <c r="C35" s="114"/>
      <c r="D35" s="116">
        <v>1</v>
      </c>
      <c r="E35" s="116"/>
      <c r="F35" s="116"/>
      <c r="G35" s="126">
        <v>2</v>
      </c>
      <c r="H35" s="126"/>
      <c r="I35" s="126"/>
      <c r="J35" s="117">
        <v>3</v>
      </c>
      <c r="K35" s="117"/>
      <c r="L35" s="117"/>
      <c r="M35" s="127"/>
      <c r="N35" s="127"/>
      <c r="O35" s="127"/>
      <c r="P35" s="30"/>
    </row>
    <row r="36" spans="1:16" x14ac:dyDescent="0.25">
      <c r="A36" s="3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30"/>
    </row>
    <row r="37" spans="1:16" x14ac:dyDescent="0.25">
      <c r="A37" s="3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30"/>
    </row>
    <row r="38" spans="1:16" x14ac:dyDescent="0.25">
      <c r="A38" s="3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30"/>
    </row>
    <row r="39" spans="1:16" x14ac:dyDescent="0.25">
      <c r="A39" s="3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30"/>
    </row>
    <row r="40" spans="1:16" x14ac:dyDescent="0.25">
      <c r="A40" s="3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30"/>
    </row>
    <row r="41" spans="1:16" x14ac:dyDescent="0.25">
      <c r="A41" s="3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30"/>
    </row>
    <row r="42" spans="1:16" x14ac:dyDescent="0.25">
      <c r="A42" s="3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30"/>
    </row>
    <row r="43" spans="1:16" x14ac:dyDescent="0.25">
      <c r="A43" s="3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30"/>
    </row>
    <row r="44" spans="1:16" x14ac:dyDescent="0.25">
      <c r="A44" s="3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30"/>
    </row>
    <row r="45" spans="1:16" x14ac:dyDescent="0.25">
      <c r="A45" s="30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30"/>
    </row>
    <row r="46" spans="1:16" x14ac:dyDescent="0.2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</row>
    <row r="47" spans="1:16" x14ac:dyDescent="0.25">
      <c r="A47" s="30"/>
      <c r="B47" s="30"/>
      <c r="C47" s="30"/>
      <c r="D47" s="40"/>
      <c r="E47" s="40"/>
      <c r="F47" s="40"/>
      <c r="G47" s="40"/>
      <c r="H47" s="40"/>
      <c r="I47" s="40"/>
      <c r="J47" s="40"/>
      <c r="K47" s="40"/>
      <c r="L47" s="40"/>
      <c r="M47" s="30"/>
      <c r="N47" s="30"/>
      <c r="O47" s="30"/>
      <c r="P47" s="30"/>
    </row>
    <row r="48" spans="1:16" x14ac:dyDescent="0.25">
      <c r="A48" s="30"/>
      <c r="B48" s="30"/>
      <c r="C48" s="30"/>
      <c r="D48" s="40"/>
      <c r="E48" s="40"/>
      <c r="F48" s="40"/>
      <c r="G48" s="40"/>
      <c r="H48" s="40"/>
      <c r="I48" s="40"/>
      <c r="J48" s="40"/>
      <c r="K48" s="40"/>
      <c r="L48" s="40"/>
      <c r="M48" s="30"/>
      <c r="N48" s="30"/>
      <c r="O48" s="30"/>
      <c r="P48" s="30"/>
    </row>
    <row r="49" spans="1:16" x14ac:dyDescent="0.25">
      <c r="A49" s="30"/>
      <c r="B49" s="30"/>
      <c r="C49" s="30"/>
      <c r="D49" s="40"/>
      <c r="E49" s="40"/>
      <c r="F49" s="40"/>
      <c r="G49" s="40"/>
      <c r="H49" s="40"/>
      <c r="I49" s="40"/>
      <c r="J49" s="40"/>
      <c r="K49" s="40"/>
      <c r="L49" s="40"/>
      <c r="M49" s="30"/>
      <c r="N49" s="30"/>
      <c r="O49" s="30"/>
      <c r="P49" s="30"/>
    </row>
    <row r="50" spans="1:16" x14ac:dyDescent="0.25">
      <c r="A50" s="30"/>
      <c r="B50" s="30"/>
      <c r="C50" s="30"/>
      <c r="D50" s="40"/>
      <c r="E50" s="40"/>
      <c r="F50" s="40"/>
      <c r="G50" s="40"/>
      <c r="H50" s="40"/>
      <c r="I50" s="40"/>
      <c r="J50" s="40"/>
      <c r="K50" s="40"/>
      <c r="L50" s="40"/>
      <c r="M50" s="30"/>
      <c r="N50" s="30"/>
      <c r="O50" s="30"/>
      <c r="P50" s="30"/>
    </row>
    <row r="51" spans="1:16" x14ac:dyDescent="0.25">
      <c r="A51" s="30"/>
      <c r="B51" s="30"/>
      <c r="C51" s="43"/>
      <c r="D51" s="40"/>
      <c r="E51" s="40"/>
      <c r="F51" s="40"/>
      <c r="G51" s="40"/>
      <c r="H51" s="40"/>
      <c r="I51" s="40"/>
      <c r="J51" s="40"/>
      <c r="K51" s="40"/>
      <c r="L51" s="40"/>
      <c r="M51" s="30"/>
      <c r="N51" s="30"/>
      <c r="O51" s="30"/>
      <c r="P51" s="30"/>
    </row>
    <row r="52" spans="1:16" x14ac:dyDescent="0.25">
      <c r="A52" s="30"/>
      <c r="B52" s="44"/>
      <c r="C52" s="45"/>
      <c r="D52" s="46"/>
      <c r="E52" s="46"/>
      <c r="F52" s="46"/>
      <c r="G52" s="46"/>
      <c r="H52" s="46"/>
      <c r="I52" s="46"/>
      <c r="J52" s="46"/>
      <c r="K52" s="46"/>
      <c r="L52" s="46"/>
      <c r="M52" s="47"/>
      <c r="N52" s="47"/>
      <c r="O52" s="47"/>
      <c r="P52" s="30"/>
    </row>
    <row r="53" spans="1:16" x14ac:dyDescent="0.25">
      <c r="A53" s="30"/>
      <c r="B53" s="44"/>
      <c r="C53" s="45"/>
      <c r="D53" s="46"/>
      <c r="E53" s="46"/>
      <c r="F53" s="46"/>
      <c r="G53" s="46"/>
      <c r="H53" s="46"/>
      <c r="I53" s="46"/>
      <c r="J53" s="46"/>
      <c r="K53" s="46"/>
      <c r="L53" s="46"/>
      <c r="M53" s="47"/>
      <c r="N53" s="47"/>
      <c r="O53" s="47"/>
      <c r="P53" s="30"/>
    </row>
    <row r="54" spans="1:16" x14ac:dyDescent="0.25">
      <c r="A54" s="30"/>
      <c r="B54" s="44"/>
      <c r="C54" s="48"/>
      <c r="D54" s="49"/>
      <c r="E54" s="49"/>
      <c r="F54" s="49"/>
      <c r="G54" s="49"/>
      <c r="H54" s="49"/>
      <c r="I54" s="49"/>
      <c r="J54" s="49"/>
      <c r="K54" s="49"/>
      <c r="L54" s="49"/>
      <c r="M54" s="48"/>
      <c r="N54" s="48"/>
      <c r="O54" s="48"/>
      <c r="P54" s="30"/>
    </row>
    <row r="55" spans="1:16" x14ac:dyDescent="0.25">
      <c r="A55" s="30"/>
      <c r="B55" s="30"/>
      <c r="C55" s="43"/>
      <c r="D55" s="40"/>
      <c r="E55" s="40"/>
      <c r="F55" s="40"/>
      <c r="G55" s="40"/>
      <c r="H55" s="40"/>
      <c r="I55" s="40"/>
      <c r="J55" s="40"/>
      <c r="K55" s="40"/>
      <c r="L55" s="40"/>
      <c r="M55" s="30"/>
      <c r="N55" s="30"/>
      <c r="O55" s="30"/>
      <c r="P55" s="30"/>
    </row>
    <row r="56" spans="1:16" x14ac:dyDescent="0.25">
      <c r="A56" s="30"/>
      <c r="B56" s="30"/>
      <c r="C56" s="30"/>
      <c r="D56" s="40"/>
      <c r="E56" s="40"/>
      <c r="F56" s="40"/>
      <c r="G56" s="40"/>
      <c r="H56" s="40"/>
      <c r="I56" s="40"/>
      <c r="J56" s="40"/>
      <c r="K56" s="40"/>
      <c r="L56" s="40"/>
      <c r="M56" s="30"/>
      <c r="N56" s="30"/>
      <c r="O56" s="30"/>
      <c r="P56" s="30"/>
    </row>
    <row r="57" spans="1:16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</row>
    <row r="58" spans="1:16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50"/>
      <c r="P58" s="30"/>
    </row>
  </sheetData>
  <mergeCells count="86">
    <mergeCell ref="B35:C35"/>
    <mergeCell ref="D35:F35"/>
    <mergeCell ref="G35:I35"/>
    <mergeCell ref="J35:L35"/>
    <mergeCell ref="M35:O35"/>
    <mergeCell ref="B32:O33"/>
    <mergeCell ref="B34:C34"/>
    <mergeCell ref="D34:F34"/>
    <mergeCell ref="G34:I34"/>
    <mergeCell ref="J34:L34"/>
    <mergeCell ref="M34:O34"/>
    <mergeCell ref="B29:C29"/>
    <mergeCell ref="D29:F29"/>
    <mergeCell ref="G29:I29"/>
    <mergeCell ref="J29:L29"/>
    <mergeCell ref="M29:O29"/>
    <mergeCell ref="B30:C30"/>
    <mergeCell ref="D30:F30"/>
    <mergeCell ref="G30:I30"/>
    <mergeCell ref="J30:L30"/>
    <mergeCell ref="M30:O30"/>
    <mergeCell ref="B27:C27"/>
    <mergeCell ref="D27:F27"/>
    <mergeCell ref="G27:I27"/>
    <mergeCell ref="J27:L27"/>
    <mergeCell ref="M27:O27"/>
    <mergeCell ref="B28:C28"/>
    <mergeCell ref="D28:F28"/>
    <mergeCell ref="G28:I28"/>
    <mergeCell ref="J28:L28"/>
    <mergeCell ref="M28:O28"/>
    <mergeCell ref="B25:C25"/>
    <mergeCell ref="D25:F25"/>
    <mergeCell ref="G25:I25"/>
    <mergeCell ref="J25:L25"/>
    <mergeCell ref="M25:O25"/>
    <mergeCell ref="B26:C26"/>
    <mergeCell ref="D26:F26"/>
    <mergeCell ref="G26:I26"/>
    <mergeCell ref="J26:L26"/>
    <mergeCell ref="M26:O26"/>
    <mergeCell ref="B22:O23"/>
    <mergeCell ref="B24:C24"/>
    <mergeCell ref="D24:F24"/>
    <mergeCell ref="G24:I24"/>
    <mergeCell ref="J24:L24"/>
    <mergeCell ref="M24:O24"/>
    <mergeCell ref="B19:C19"/>
    <mergeCell ref="D19:F19"/>
    <mergeCell ref="G19:I19"/>
    <mergeCell ref="J19:L19"/>
    <mergeCell ref="M19:O19"/>
    <mergeCell ref="B20:C20"/>
    <mergeCell ref="D20:F20"/>
    <mergeCell ref="G20:I20"/>
    <mergeCell ref="J20:L20"/>
    <mergeCell ref="M20:O20"/>
    <mergeCell ref="B17:C17"/>
    <mergeCell ref="D17:F17"/>
    <mergeCell ref="G17:I17"/>
    <mergeCell ref="J17:L17"/>
    <mergeCell ref="M17:O17"/>
    <mergeCell ref="B18:C18"/>
    <mergeCell ref="D18:F18"/>
    <mergeCell ref="G18:I18"/>
    <mergeCell ref="J18:L18"/>
    <mergeCell ref="M18:O18"/>
    <mergeCell ref="B15:C15"/>
    <mergeCell ref="D15:F15"/>
    <mergeCell ref="G15:I15"/>
    <mergeCell ref="J15:L15"/>
    <mergeCell ref="M15:O15"/>
    <mergeCell ref="B16:C16"/>
    <mergeCell ref="D16:F16"/>
    <mergeCell ref="G16:I16"/>
    <mergeCell ref="J16:L16"/>
    <mergeCell ref="M16:O16"/>
    <mergeCell ref="C2:N7"/>
    <mergeCell ref="B9:O9"/>
    <mergeCell ref="B10:O10"/>
    <mergeCell ref="B12:O13"/>
    <mergeCell ref="B14:C14"/>
    <mergeCell ref="D14:F14"/>
    <mergeCell ref="G14:I14"/>
    <mergeCell ref="J14:L14"/>
    <mergeCell ref="M14:O14"/>
  </mergeCells>
  <pageMargins left="0.25" right="0.25" top="0.75" bottom="0.75" header="0.3" footer="0.3"/>
  <pageSetup paperSize="9" scale="7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455C8-32E8-449C-B11D-0DB75D41E547}">
  <dimension ref="B2:U45"/>
  <sheetViews>
    <sheetView tabSelected="1" topLeftCell="A7" workbookViewId="0">
      <selection activeCell="P20" sqref="P20"/>
    </sheetView>
  </sheetViews>
  <sheetFormatPr baseColWidth="10" defaultRowHeight="15" x14ac:dyDescent="0.25"/>
  <cols>
    <col min="21" max="21" width="38.7109375" bestFit="1" customWidth="1"/>
  </cols>
  <sheetData>
    <row r="2" spans="2:21" x14ac:dyDescent="0.25">
      <c r="B2" t="s">
        <v>70</v>
      </c>
    </row>
    <row r="4" spans="2:21" x14ac:dyDescent="0.25">
      <c r="B4" t="s">
        <v>71</v>
      </c>
      <c r="F4">
        <v>1</v>
      </c>
    </row>
    <row r="5" spans="2:21" x14ac:dyDescent="0.25">
      <c r="B5" t="s">
        <v>72</v>
      </c>
      <c r="F5" t="s">
        <v>73</v>
      </c>
    </row>
    <row r="6" spans="2:21" x14ac:dyDescent="0.25">
      <c r="B6" t="s">
        <v>74</v>
      </c>
      <c r="F6" t="s">
        <v>75</v>
      </c>
    </row>
    <row r="8" spans="2:21" x14ac:dyDescent="0.25">
      <c r="C8" t="s">
        <v>76</v>
      </c>
      <c r="G8" t="s">
        <v>77</v>
      </c>
      <c r="K8" t="s">
        <v>78</v>
      </c>
      <c r="M8" t="s">
        <v>79</v>
      </c>
      <c r="T8" t="s">
        <v>80</v>
      </c>
    </row>
    <row r="9" spans="2:21" x14ac:dyDescent="0.25">
      <c r="B9" t="s">
        <v>81</v>
      </c>
      <c r="C9" t="s">
        <v>82</v>
      </c>
      <c r="D9" t="s">
        <v>83</v>
      </c>
      <c r="E9" t="s">
        <v>84</v>
      </c>
      <c r="F9" t="s">
        <v>55</v>
      </c>
      <c r="G9" t="s">
        <v>85</v>
      </c>
      <c r="H9" t="s">
        <v>86</v>
      </c>
      <c r="I9" t="s">
        <v>87</v>
      </c>
      <c r="J9" t="s">
        <v>55</v>
      </c>
      <c r="K9" t="s">
        <v>88</v>
      </c>
      <c r="L9" t="s">
        <v>89</v>
      </c>
      <c r="M9" t="s">
        <v>90</v>
      </c>
      <c r="N9" t="s">
        <v>91</v>
      </c>
      <c r="O9" t="s">
        <v>92</v>
      </c>
      <c r="P9" t="s">
        <v>93</v>
      </c>
      <c r="Q9" t="s">
        <v>94</v>
      </c>
      <c r="R9" t="s">
        <v>95</v>
      </c>
      <c r="S9" t="s">
        <v>96</v>
      </c>
      <c r="T9" t="s">
        <v>97</v>
      </c>
      <c r="U9" t="s">
        <v>98</v>
      </c>
    </row>
    <row r="10" spans="2:21" x14ac:dyDescent="0.25">
      <c r="B10" t="s">
        <v>16</v>
      </c>
      <c r="C10" t="s">
        <v>99</v>
      </c>
      <c r="D10" t="s">
        <v>16</v>
      </c>
      <c r="E10" t="s">
        <v>16</v>
      </c>
      <c r="F10" t="s">
        <v>16</v>
      </c>
      <c r="G10" t="s">
        <v>100</v>
      </c>
      <c r="H10" t="s">
        <v>16</v>
      </c>
      <c r="I10" t="s">
        <v>16</v>
      </c>
      <c r="J10" t="s">
        <v>16</v>
      </c>
      <c r="K10" t="s">
        <v>16</v>
      </c>
      <c r="L10" t="s">
        <v>16</v>
      </c>
      <c r="M10">
        <v>5</v>
      </c>
      <c r="N10" t="s">
        <v>16</v>
      </c>
      <c r="O10" t="s">
        <v>101</v>
      </c>
      <c r="P10" t="s">
        <v>102</v>
      </c>
      <c r="Q10" t="s">
        <v>16</v>
      </c>
      <c r="R10" t="s">
        <v>16</v>
      </c>
      <c r="S10" t="s">
        <v>16</v>
      </c>
    </row>
    <row r="11" spans="2:21" x14ac:dyDescent="0.25">
      <c r="B11" t="s">
        <v>16</v>
      </c>
      <c r="C11" t="s">
        <v>100</v>
      </c>
      <c r="D11" t="s">
        <v>16</v>
      </c>
      <c r="E11" t="s">
        <v>16</v>
      </c>
      <c r="F11" t="s">
        <v>16</v>
      </c>
      <c r="G11">
        <v>44</v>
      </c>
      <c r="H11" t="s">
        <v>42</v>
      </c>
      <c r="I11" t="s">
        <v>5</v>
      </c>
      <c r="J11" t="s">
        <v>12</v>
      </c>
      <c r="K11" t="s">
        <v>16</v>
      </c>
      <c r="L11" t="s">
        <v>16</v>
      </c>
      <c r="M11">
        <v>107</v>
      </c>
      <c r="N11" t="s">
        <v>16</v>
      </c>
      <c r="O11" t="s">
        <v>101</v>
      </c>
      <c r="P11" t="s">
        <v>102</v>
      </c>
      <c r="Q11" t="s">
        <v>16</v>
      </c>
      <c r="R11" t="s">
        <v>16</v>
      </c>
      <c r="S11" t="s">
        <v>16</v>
      </c>
    </row>
    <row r="12" spans="2:21" x14ac:dyDescent="0.25">
      <c r="B12" t="s">
        <v>16</v>
      </c>
      <c r="C12">
        <v>44</v>
      </c>
      <c r="D12" t="s">
        <v>42</v>
      </c>
      <c r="E12" t="s">
        <v>5</v>
      </c>
      <c r="F12" t="s">
        <v>12</v>
      </c>
      <c r="G12">
        <v>50</v>
      </c>
      <c r="H12" t="s">
        <v>63</v>
      </c>
      <c r="I12" t="s">
        <v>5</v>
      </c>
      <c r="J12" t="s">
        <v>12</v>
      </c>
      <c r="K12" t="s">
        <v>103</v>
      </c>
      <c r="L12" t="s">
        <v>104</v>
      </c>
      <c r="M12">
        <v>80</v>
      </c>
      <c r="N12" t="s">
        <v>118</v>
      </c>
      <c r="O12" t="s">
        <v>2</v>
      </c>
      <c r="P12" t="s">
        <v>477</v>
      </c>
      <c r="Q12" t="s">
        <v>16</v>
      </c>
      <c r="R12" t="s">
        <v>16</v>
      </c>
      <c r="S12" t="s">
        <v>16</v>
      </c>
      <c r="T12" t="s">
        <v>124</v>
      </c>
      <c r="U12" t="s">
        <v>125</v>
      </c>
    </row>
    <row r="13" spans="2:21" x14ac:dyDescent="0.25">
      <c r="B13" t="s">
        <v>16</v>
      </c>
      <c r="C13">
        <v>44</v>
      </c>
      <c r="D13" t="s">
        <v>42</v>
      </c>
      <c r="E13" t="s">
        <v>5</v>
      </c>
      <c r="F13" t="s">
        <v>12</v>
      </c>
      <c r="G13">
        <v>40</v>
      </c>
      <c r="H13" t="s">
        <v>53</v>
      </c>
      <c r="I13" t="s">
        <v>5</v>
      </c>
      <c r="J13" t="s">
        <v>16</v>
      </c>
      <c r="K13" t="s">
        <v>104</v>
      </c>
      <c r="L13" t="s">
        <v>104</v>
      </c>
      <c r="M13">
        <v>112</v>
      </c>
      <c r="N13" t="s">
        <v>209</v>
      </c>
      <c r="O13" t="s">
        <v>2</v>
      </c>
      <c r="P13" t="s">
        <v>477</v>
      </c>
      <c r="Q13" t="s">
        <v>16</v>
      </c>
      <c r="R13" t="s">
        <v>16</v>
      </c>
      <c r="S13" t="s">
        <v>16</v>
      </c>
      <c r="T13" t="s">
        <v>124</v>
      </c>
      <c r="U13" t="s">
        <v>125</v>
      </c>
    </row>
    <row r="14" spans="2:21" x14ac:dyDescent="0.25">
      <c r="B14" t="s">
        <v>16</v>
      </c>
      <c r="C14">
        <v>44</v>
      </c>
      <c r="D14" t="s">
        <v>42</v>
      </c>
      <c r="E14" t="s">
        <v>5</v>
      </c>
      <c r="F14" t="s">
        <v>12</v>
      </c>
      <c r="G14">
        <v>43</v>
      </c>
      <c r="H14" t="s">
        <v>54</v>
      </c>
      <c r="I14" t="s">
        <v>6</v>
      </c>
      <c r="J14" t="s">
        <v>15</v>
      </c>
      <c r="K14" t="s">
        <v>104</v>
      </c>
      <c r="L14" t="s">
        <v>104</v>
      </c>
      <c r="M14">
        <v>26</v>
      </c>
      <c r="N14" t="s">
        <v>110</v>
      </c>
      <c r="O14" t="s">
        <v>105</v>
      </c>
      <c r="P14" t="s">
        <v>477</v>
      </c>
      <c r="Q14" t="s">
        <v>16</v>
      </c>
      <c r="R14" t="s">
        <v>16</v>
      </c>
      <c r="S14" t="s">
        <v>16</v>
      </c>
      <c r="T14" t="s">
        <v>122</v>
      </c>
      <c r="U14" t="s">
        <v>10</v>
      </c>
    </row>
    <row r="15" spans="2:21" x14ac:dyDescent="0.25">
      <c r="B15" t="s">
        <v>16</v>
      </c>
      <c r="C15">
        <v>44</v>
      </c>
      <c r="D15" t="s">
        <v>42</v>
      </c>
      <c r="E15" t="s">
        <v>5</v>
      </c>
      <c r="F15" t="s">
        <v>12</v>
      </c>
      <c r="G15">
        <v>19</v>
      </c>
      <c r="H15" t="s">
        <v>63</v>
      </c>
      <c r="I15" t="s">
        <v>5</v>
      </c>
      <c r="J15" t="s">
        <v>12</v>
      </c>
      <c r="K15" t="s">
        <v>104</v>
      </c>
      <c r="L15" t="s">
        <v>104</v>
      </c>
      <c r="M15">
        <v>159</v>
      </c>
      <c r="N15" t="s">
        <v>118</v>
      </c>
      <c r="O15" t="s">
        <v>2</v>
      </c>
      <c r="P15" t="s">
        <v>477</v>
      </c>
      <c r="Q15" t="s">
        <v>16</v>
      </c>
      <c r="R15" t="s">
        <v>16</v>
      </c>
      <c r="S15" t="s">
        <v>16</v>
      </c>
      <c r="T15" t="s">
        <v>124</v>
      </c>
      <c r="U15" t="s">
        <v>125</v>
      </c>
    </row>
    <row r="16" spans="2:21" x14ac:dyDescent="0.25">
      <c r="B16" t="s">
        <v>16</v>
      </c>
      <c r="C16">
        <v>44</v>
      </c>
      <c r="D16" t="s">
        <v>42</v>
      </c>
      <c r="E16" t="s">
        <v>5</v>
      </c>
      <c r="F16" t="s">
        <v>12</v>
      </c>
      <c r="G16">
        <v>20</v>
      </c>
      <c r="H16" t="s">
        <v>54</v>
      </c>
      <c r="I16" t="s">
        <v>6</v>
      </c>
      <c r="J16" t="s">
        <v>15</v>
      </c>
      <c r="K16" t="s">
        <v>104</v>
      </c>
      <c r="L16" t="s">
        <v>104</v>
      </c>
      <c r="M16">
        <v>19</v>
      </c>
      <c r="N16" t="s">
        <v>110</v>
      </c>
      <c r="O16" t="s">
        <v>105</v>
      </c>
      <c r="P16" t="s">
        <v>477</v>
      </c>
      <c r="Q16" t="s">
        <v>16</v>
      </c>
      <c r="R16" t="s">
        <v>16</v>
      </c>
      <c r="S16" t="s">
        <v>16</v>
      </c>
      <c r="T16" t="s">
        <v>122</v>
      </c>
      <c r="U16" t="s">
        <v>10</v>
      </c>
    </row>
    <row r="17" spans="2:21" x14ac:dyDescent="0.25">
      <c r="B17" t="s">
        <v>16</v>
      </c>
      <c r="C17">
        <v>40</v>
      </c>
      <c r="D17" t="s">
        <v>53</v>
      </c>
      <c r="E17" t="s">
        <v>5</v>
      </c>
      <c r="F17" t="s">
        <v>16</v>
      </c>
      <c r="G17">
        <v>42</v>
      </c>
      <c r="H17" t="s">
        <v>54</v>
      </c>
      <c r="I17" t="s">
        <v>6</v>
      </c>
      <c r="J17" t="s">
        <v>15</v>
      </c>
      <c r="K17" t="s">
        <v>104</v>
      </c>
      <c r="L17" t="s">
        <v>104</v>
      </c>
      <c r="M17">
        <v>24</v>
      </c>
      <c r="N17" t="s">
        <v>116</v>
      </c>
      <c r="O17" t="s">
        <v>105</v>
      </c>
      <c r="P17" t="s">
        <v>477</v>
      </c>
      <c r="Q17" t="s">
        <v>16</v>
      </c>
      <c r="R17" t="s">
        <v>16</v>
      </c>
      <c r="S17" t="s">
        <v>16</v>
      </c>
      <c r="T17" t="s">
        <v>123</v>
      </c>
      <c r="U17" t="s">
        <v>11</v>
      </c>
    </row>
    <row r="18" spans="2:21" x14ac:dyDescent="0.25">
      <c r="B18" t="s">
        <v>16</v>
      </c>
      <c r="C18">
        <v>40</v>
      </c>
      <c r="D18" t="s">
        <v>53</v>
      </c>
      <c r="E18" t="s">
        <v>5</v>
      </c>
      <c r="F18" t="s">
        <v>16</v>
      </c>
      <c r="G18">
        <v>46</v>
      </c>
      <c r="H18" t="s">
        <v>53</v>
      </c>
      <c r="I18" t="s">
        <v>5</v>
      </c>
      <c r="J18" t="s">
        <v>16</v>
      </c>
      <c r="K18" t="s">
        <v>104</v>
      </c>
      <c r="L18" t="s">
        <v>104</v>
      </c>
      <c r="M18">
        <v>96</v>
      </c>
      <c r="N18" t="s">
        <v>107</v>
      </c>
      <c r="O18" t="s">
        <v>105</v>
      </c>
      <c r="P18" t="s">
        <v>477</v>
      </c>
      <c r="Q18" t="s">
        <v>16</v>
      </c>
      <c r="R18" t="s">
        <v>16</v>
      </c>
      <c r="S18" t="s">
        <v>16</v>
      </c>
      <c r="T18" t="s">
        <v>123</v>
      </c>
      <c r="U18" t="s">
        <v>11</v>
      </c>
    </row>
    <row r="19" spans="2:21" x14ac:dyDescent="0.25">
      <c r="B19" t="s">
        <v>16</v>
      </c>
      <c r="C19">
        <v>40</v>
      </c>
      <c r="D19" t="s">
        <v>53</v>
      </c>
      <c r="E19" t="s">
        <v>5</v>
      </c>
      <c r="F19" t="s">
        <v>16</v>
      </c>
      <c r="G19">
        <v>41</v>
      </c>
      <c r="H19" t="s">
        <v>53</v>
      </c>
      <c r="I19" t="s">
        <v>5</v>
      </c>
      <c r="J19" t="s">
        <v>16</v>
      </c>
      <c r="K19" t="s">
        <v>104</v>
      </c>
      <c r="L19" t="s">
        <v>104</v>
      </c>
      <c r="M19">
        <v>40</v>
      </c>
      <c r="N19" t="s">
        <v>116</v>
      </c>
      <c r="O19" t="s">
        <v>105</v>
      </c>
      <c r="P19" t="s">
        <v>477</v>
      </c>
      <c r="Q19" t="s">
        <v>16</v>
      </c>
      <c r="R19" t="s">
        <v>16</v>
      </c>
      <c r="S19" t="s">
        <v>16</v>
      </c>
      <c r="T19" t="s">
        <v>123</v>
      </c>
      <c r="U19" t="s">
        <v>11</v>
      </c>
    </row>
    <row r="20" spans="2:21" x14ac:dyDescent="0.25">
      <c r="B20" t="s">
        <v>16</v>
      </c>
      <c r="C20">
        <v>40</v>
      </c>
      <c r="D20" t="s">
        <v>53</v>
      </c>
      <c r="E20" t="s">
        <v>5</v>
      </c>
      <c r="F20" t="s">
        <v>16</v>
      </c>
      <c r="G20">
        <v>24</v>
      </c>
      <c r="H20" t="s">
        <v>44</v>
      </c>
      <c r="I20" t="s">
        <v>5</v>
      </c>
      <c r="J20" t="s">
        <v>13</v>
      </c>
      <c r="K20" t="s">
        <v>104</v>
      </c>
      <c r="L20" t="s">
        <v>104</v>
      </c>
      <c r="M20">
        <v>248</v>
      </c>
      <c r="N20" t="s">
        <v>107</v>
      </c>
      <c r="O20" t="s">
        <v>105</v>
      </c>
      <c r="P20" t="s">
        <v>477</v>
      </c>
      <c r="Q20" t="s">
        <v>16</v>
      </c>
      <c r="R20" t="s">
        <v>16</v>
      </c>
      <c r="S20" t="s">
        <v>16</v>
      </c>
      <c r="T20" t="s">
        <v>123</v>
      </c>
      <c r="U20" t="s">
        <v>11</v>
      </c>
    </row>
    <row r="21" spans="2:21" x14ac:dyDescent="0.25">
      <c r="B21" t="s">
        <v>16</v>
      </c>
      <c r="C21">
        <v>40</v>
      </c>
      <c r="D21" t="s">
        <v>53</v>
      </c>
      <c r="E21" t="s">
        <v>5</v>
      </c>
      <c r="F21" t="s">
        <v>16</v>
      </c>
      <c r="G21">
        <v>47</v>
      </c>
      <c r="H21" t="s">
        <v>54</v>
      </c>
      <c r="I21" t="s">
        <v>6</v>
      </c>
      <c r="J21" t="s">
        <v>15</v>
      </c>
      <c r="K21" t="s">
        <v>104</v>
      </c>
      <c r="L21" t="s">
        <v>104</v>
      </c>
      <c r="M21">
        <v>46</v>
      </c>
      <c r="N21" t="s">
        <v>110</v>
      </c>
      <c r="O21" t="s">
        <v>105</v>
      </c>
      <c r="P21" t="s">
        <v>477</v>
      </c>
      <c r="Q21" t="s">
        <v>16</v>
      </c>
      <c r="R21" t="s">
        <v>16</v>
      </c>
      <c r="S21" t="s">
        <v>16</v>
      </c>
      <c r="T21" t="s">
        <v>122</v>
      </c>
      <c r="U21" t="s">
        <v>10</v>
      </c>
    </row>
    <row r="22" spans="2:21" x14ac:dyDescent="0.25">
      <c r="B22" t="s">
        <v>16</v>
      </c>
      <c r="C22">
        <v>40</v>
      </c>
      <c r="D22" t="s">
        <v>53</v>
      </c>
      <c r="E22" t="s">
        <v>5</v>
      </c>
      <c r="F22" t="s">
        <v>16</v>
      </c>
      <c r="G22">
        <v>66</v>
      </c>
      <c r="H22" t="s">
        <v>54</v>
      </c>
      <c r="I22" t="s">
        <v>6</v>
      </c>
      <c r="J22" t="s">
        <v>15</v>
      </c>
      <c r="K22" t="s">
        <v>104</v>
      </c>
      <c r="L22" t="s">
        <v>104</v>
      </c>
      <c r="M22">
        <v>520</v>
      </c>
      <c r="N22" t="s">
        <v>107</v>
      </c>
      <c r="O22" t="s">
        <v>105</v>
      </c>
      <c r="P22" t="s">
        <v>477</v>
      </c>
      <c r="Q22" t="s">
        <v>16</v>
      </c>
      <c r="R22" t="s">
        <v>16</v>
      </c>
      <c r="S22" t="s">
        <v>16</v>
      </c>
      <c r="T22" t="s">
        <v>123</v>
      </c>
      <c r="U22" t="s">
        <v>11</v>
      </c>
    </row>
    <row r="23" spans="2:21" x14ac:dyDescent="0.25">
      <c r="B23" t="s">
        <v>16</v>
      </c>
      <c r="C23">
        <v>50</v>
      </c>
      <c r="D23" t="s">
        <v>63</v>
      </c>
      <c r="E23" t="s">
        <v>5</v>
      </c>
      <c r="F23" t="s">
        <v>12</v>
      </c>
      <c r="G23">
        <v>49</v>
      </c>
      <c r="H23" t="s">
        <v>45</v>
      </c>
      <c r="I23" t="s">
        <v>6</v>
      </c>
      <c r="J23" t="s">
        <v>13</v>
      </c>
      <c r="K23" t="s">
        <v>104</v>
      </c>
      <c r="L23" t="s">
        <v>104</v>
      </c>
      <c r="M23">
        <v>60</v>
      </c>
      <c r="N23" t="s">
        <v>118</v>
      </c>
      <c r="O23" t="s">
        <v>2</v>
      </c>
      <c r="P23" t="s">
        <v>477</v>
      </c>
      <c r="Q23" t="s">
        <v>16</v>
      </c>
      <c r="R23" t="s">
        <v>16</v>
      </c>
      <c r="S23" t="s">
        <v>16</v>
      </c>
      <c r="T23" t="s">
        <v>124</v>
      </c>
      <c r="U23" t="s">
        <v>125</v>
      </c>
    </row>
    <row r="24" spans="2:21" x14ac:dyDescent="0.25">
      <c r="B24" t="s">
        <v>16</v>
      </c>
      <c r="C24">
        <v>50</v>
      </c>
      <c r="D24" t="s">
        <v>63</v>
      </c>
      <c r="E24" t="s">
        <v>5</v>
      </c>
      <c r="F24" t="s">
        <v>12</v>
      </c>
      <c r="G24">
        <v>55</v>
      </c>
      <c r="H24" t="s">
        <v>63</v>
      </c>
      <c r="I24" t="s">
        <v>5</v>
      </c>
      <c r="J24" t="s">
        <v>12</v>
      </c>
      <c r="K24" t="s">
        <v>104</v>
      </c>
      <c r="L24" t="s">
        <v>104</v>
      </c>
      <c r="M24">
        <v>18</v>
      </c>
      <c r="N24" t="s">
        <v>155</v>
      </c>
      <c r="O24" t="s">
        <v>2</v>
      </c>
      <c r="P24" t="s">
        <v>477</v>
      </c>
      <c r="Q24" t="s">
        <v>16</v>
      </c>
      <c r="R24" t="s">
        <v>16</v>
      </c>
      <c r="S24" t="s">
        <v>16</v>
      </c>
      <c r="T24" t="s">
        <v>124</v>
      </c>
      <c r="U24" t="s">
        <v>125</v>
      </c>
    </row>
    <row r="25" spans="2:21" x14ac:dyDescent="0.25">
      <c r="B25" t="s">
        <v>16</v>
      </c>
      <c r="C25">
        <v>19</v>
      </c>
      <c r="D25" t="s">
        <v>63</v>
      </c>
      <c r="E25" t="s">
        <v>5</v>
      </c>
      <c r="F25" t="s">
        <v>12</v>
      </c>
      <c r="G25">
        <v>18</v>
      </c>
      <c r="H25" t="s">
        <v>63</v>
      </c>
      <c r="I25" t="s">
        <v>5</v>
      </c>
      <c r="J25" t="s">
        <v>12</v>
      </c>
      <c r="K25" t="s">
        <v>104</v>
      </c>
      <c r="L25" t="s">
        <v>104</v>
      </c>
      <c r="M25">
        <v>90</v>
      </c>
      <c r="N25" t="s">
        <v>118</v>
      </c>
      <c r="O25" t="s">
        <v>2</v>
      </c>
      <c r="P25" t="s">
        <v>477</v>
      </c>
      <c r="Q25" t="s">
        <v>16</v>
      </c>
      <c r="R25" t="s">
        <v>16</v>
      </c>
      <c r="S25" t="s">
        <v>16</v>
      </c>
      <c r="T25" t="s">
        <v>124</v>
      </c>
      <c r="U25" t="s">
        <v>125</v>
      </c>
    </row>
    <row r="26" spans="2:21" x14ac:dyDescent="0.25">
      <c r="B26" t="s">
        <v>16</v>
      </c>
      <c r="C26">
        <v>46</v>
      </c>
      <c r="D26" t="s">
        <v>53</v>
      </c>
      <c r="E26" t="s">
        <v>5</v>
      </c>
      <c r="F26" t="s">
        <v>16</v>
      </c>
      <c r="G26">
        <v>26</v>
      </c>
      <c r="H26" t="s">
        <v>54</v>
      </c>
      <c r="I26" t="s">
        <v>6</v>
      </c>
      <c r="J26" t="s">
        <v>15</v>
      </c>
      <c r="K26" t="s">
        <v>104</v>
      </c>
      <c r="L26" t="s">
        <v>104</v>
      </c>
      <c r="M26">
        <v>20</v>
      </c>
      <c r="N26" t="s">
        <v>66</v>
      </c>
      <c r="O26" t="s">
        <v>105</v>
      </c>
      <c r="P26" t="s">
        <v>477</v>
      </c>
      <c r="Q26" t="s">
        <v>16</v>
      </c>
      <c r="R26" t="s">
        <v>16</v>
      </c>
      <c r="S26" t="s">
        <v>16</v>
      </c>
      <c r="T26" t="s">
        <v>122</v>
      </c>
      <c r="U26" t="s">
        <v>10</v>
      </c>
    </row>
    <row r="27" spans="2:21" x14ac:dyDescent="0.25">
      <c r="B27" t="s">
        <v>16</v>
      </c>
      <c r="C27">
        <v>46</v>
      </c>
      <c r="D27" t="s">
        <v>53</v>
      </c>
      <c r="E27" t="s">
        <v>5</v>
      </c>
      <c r="F27" t="s">
        <v>16</v>
      </c>
      <c r="G27">
        <v>24</v>
      </c>
      <c r="H27" t="s">
        <v>44</v>
      </c>
      <c r="I27" t="s">
        <v>5</v>
      </c>
      <c r="J27" t="s">
        <v>13</v>
      </c>
      <c r="K27" t="s">
        <v>104</v>
      </c>
      <c r="L27" t="s">
        <v>104</v>
      </c>
      <c r="M27">
        <v>154</v>
      </c>
      <c r="N27" t="s">
        <v>107</v>
      </c>
      <c r="O27" t="s">
        <v>105</v>
      </c>
      <c r="P27" t="s">
        <v>477</v>
      </c>
      <c r="Q27" t="s">
        <v>16</v>
      </c>
      <c r="R27" t="s">
        <v>16</v>
      </c>
      <c r="S27" t="s">
        <v>16</v>
      </c>
      <c r="T27" t="s">
        <v>123</v>
      </c>
      <c r="U27" t="s">
        <v>11</v>
      </c>
    </row>
    <row r="28" spans="2:21" x14ac:dyDescent="0.25">
      <c r="B28" t="s">
        <v>16</v>
      </c>
      <c r="C28">
        <v>24</v>
      </c>
      <c r="D28" t="s">
        <v>44</v>
      </c>
      <c r="E28" t="s">
        <v>5</v>
      </c>
      <c r="F28" t="s">
        <v>13</v>
      </c>
      <c r="G28">
        <v>46</v>
      </c>
      <c r="H28" t="s">
        <v>53</v>
      </c>
      <c r="I28" t="s">
        <v>5</v>
      </c>
      <c r="J28" t="s">
        <v>16</v>
      </c>
      <c r="K28" t="s">
        <v>104</v>
      </c>
      <c r="L28" t="s">
        <v>104</v>
      </c>
      <c r="M28">
        <v>154</v>
      </c>
      <c r="N28" t="s">
        <v>107</v>
      </c>
      <c r="O28" t="s">
        <v>105</v>
      </c>
      <c r="P28" t="s">
        <v>477</v>
      </c>
      <c r="Q28" t="s">
        <v>16</v>
      </c>
      <c r="R28" t="s">
        <v>16</v>
      </c>
      <c r="S28" t="s">
        <v>16</v>
      </c>
      <c r="T28" t="s">
        <v>123</v>
      </c>
      <c r="U28" t="s">
        <v>11</v>
      </c>
    </row>
    <row r="29" spans="2:21" x14ac:dyDescent="0.25">
      <c r="B29" t="s">
        <v>16</v>
      </c>
      <c r="C29">
        <v>24</v>
      </c>
      <c r="D29" t="s">
        <v>44</v>
      </c>
      <c r="E29" t="s">
        <v>5</v>
      </c>
      <c r="F29" t="s">
        <v>13</v>
      </c>
      <c r="G29">
        <v>27</v>
      </c>
      <c r="H29" t="s">
        <v>54</v>
      </c>
      <c r="I29" t="s">
        <v>6</v>
      </c>
      <c r="J29" t="s">
        <v>15</v>
      </c>
      <c r="K29" t="s">
        <v>104</v>
      </c>
      <c r="L29" t="s">
        <v>104</v>
      </c>
      <c r="M29">
        <v>109</v>
      </c>
      <c r="N29" t="s">
        <v>110</v>
      </c>
      <c r="O29" t="s">
        <v>105</v>
      </c>
      <c r="P29" t="s">
        <v>477</v>
      </c>
      <c r="Q29" t="s">
        <v>16</v>
      </c>
      <c r="R29" t="s">
        <v>16</v>
      </c>
      <c r="S29" t="s">
        <v>16</v>
      </c>
      <c r="T29" t="s">
        <v>122</v>
      </c>
      <c r="U29" t="s">
        <v>10</v>
      </c>
    </row>
    <row r="30" spans="2:21" x14ac:dyDescent="0.25">
      <c r="B30" t="s">
        <v>16</v>
      </c>
      <c r="C30">
        <v>41</v>
      </c>
      <c r="D30" t="s">
        <v>53</v>
      </c>
      <c r="E30" t="s">
        <v>5</v>
      </c>
      <c r="F30" t="s">
        <v>16</v>
      </c>
      <c r="G30">
        <v>92</v>
      </c>
      <c r="H30" t="s">
        <v>54</v>
      </c>
      <c r="I30" t="s">
        <v>6</v>
      </c>
      <c r="J30" t="s">
        <v>15</v>
      </c>
      <c r="K30" t="s">
        <v>104</v>
      </c>
      <c r="L30" t="s">
        <v>104</v>
      </c>
      <c r="M30">
        <v>62</v>
      </c>
      <c r="N30" t="s">
        <v>110</v>
      </c>
      <c r="O30" t="s">
        <v>105</v>
      </c>
      <c r="P30" t="s">
        <v>477</v>
      </c>
      <c r="Q30" t="s">
        <v>16</v>
      </c>
      <c r="R30" t="s">
        <v>16</v>
      </c>
      <c r="S30" t="s">
        <v>16</v>
      </c>
      <c r="T30" t="s">
        <v>122</v>
      </c>
      <c r="U30" t="s">
        <v>10</v>
      </c>
    </row>
    <row r="31" spans="2:21" x14ac:dyDescent="0.25">
      <c r="B31" t="s">
        <v>16</v>
      </c>
      <c r="C31">
        <v>18</v>
      </c>
      <c r="D31" t="s">
        <v>63</v>
      </c>
      <c r="E31" t="s">
        <v>5</v>
      </c>
      <c r="F31" t="s">
        <v>12</v>
      </c>
      <c r="G31">
        <v>17</v>
      </c>
      <c r="H31" t="s">
        <v>63</v>
      </c>
      <c r="I31" t="s">
        <v>5</v>
      </c>
      <c r="J31" t="s">
        <v>12</v>
      </c>
      <c r="K31" t="s">
        <v>104</v>
      </c>
      <c r="L31" t="s">
        <v>104</v>
      </c>
      <c r="M31">
        <v>31</v>
      </c>
      <c r="N31" t="s">
        <v>118</v>
      </c>
      <c r="O31" t="s">
        <v>2</v>
      </c>
      <c r="P31" t="s">
        <v>477</v>
      </c>
      <c r="Q31" t="s">
        <v>16</v>
      </c>
      <c r="R31" t="s">
        <v>16</v>
      </c>
      <c r="S31" t="s">
        <v>16</v>
      </c>
      <c r="T31" t="s">
        <v>124</v>
      </c>
      <c r="U31" t="s">
        <v>125</v>
      </c>
    </row>
    <row r="32" spans="2:21" x14ac:dyDescent="0.25">
      <c r="B32" t="s">
        <v>16</v>
      </c>
      <c r="C32">
        <v>41</v>
      </c>
      <c r="D32" t="s">
        <v>53</v>
      </c>
      <c r="E32" t="s">
        <v>5</v>
      </c>
      <c r="F32" t="s">
        <v>16</v>
      </c>
      <c r="G32">
        <v>48</v>
      </c>
      <c r="H32" t="s">
        <v>53</v>
      </c>
      <c r="I32" t="s">
        <v>5</v>
      </c>
      <c r="J32" t="s">
        <v>16</v>
      </c>
      <c r="K32" t="s">
        <v>104</v>
      </c>
      <c r="L32" t="s">
        <v>104</v>
      </c>
      <c r="M32">
        <v>228</v>
      </c>
      <c r="N32" t="s">
        <v>107</v>
      </c>
      <c r="O32" t="s">
        <v>105</v>
      </c>
      <c r="P32" t="s">
        <v>477</v>
      </c>
      <c r="Q32" t="s">
        <v>16</v>
      </c>
      <c r="R32" t="s">
        <v>16</v>
      </c>
      <c r="S32" t="s">
        <v>16</v>
      </c>
      <c r="T32" t="s">
        <v>123</v>
      </c>
      <c r="U32" t="s">
        <v>11</v>
      </c>
    </row>
    <row r="33" spans="2:21" x14ac:dyDescent="0.25">
      <c r="B33" t="s">
        <v>16</v>
      </c>
      <c r="C33">
        <v>41</v>
      </c>
      <c r="D33" t="s">
        <v>53</v>
      </c>
      <c r="E33" t="s">
        <v>5</v>
      </c>
      <c r="F33" t="s">
        <v>16</v>
      </c>
      <c r="G33">
        <v>39</v>
      </c>
      <c r="H33" t="s">
        <v>53</v>
      </c>
      <c r="I33" t="s">
        <v>6</v>
      </c>
      <c r="J33" t="s">
        <v>16</v>
      </c>
      <c r="K33" t="s">
        <v>104</v>
      </c>
      <c r="L33" t="s">
        <v>104</v>
      </c>
      <c r="M33">
        <v>280</v>
      </c>
      <c r="N33" t="s">
        <v>107</v>
      </c>
      <c r="O33" t="s">
        <v>105</v>
      </c>
      <c r="P33" t="s">
        <v>477</v>
      </c>
      <c r="Q33" t="s">
        <v>16</v>
      </c>
      <c r="R33" t="s">
        <v>16</v>
      </c>
      <c r="S33" t="s">
        <v>16</v>
      </c>
      <c r="T33" t="s">
        <v>123</v>
      </c>
      <c r="U33" t="s">
        <v>11</v>
      </c>
    </row>
    <row r="34" spans="2:21" x14ac:dyDescent="0.25">
      <c r="B34" t="s">
        <v>16</v>
      </c>
      <c r="C34">
        <v>49</v>
      </c>
      <c r="D34" t="s">
        <v>45</v>
      </c>
      <c r="E34" t="s">
        <v>6</v>
      </c>
      <c r="F34" t="s">
        <v>13</v>
      </c>
      <c r="G34">
        <v>48</v>
      </c>
      <c r="H34" t="s">
        <v>53</v>
      </c>
      <c r="I34" t="s">
        <v>5</v>
      </c>
      <c r="J34" t="s">
        <v>16</v>
      </c>
      <c r="K34" t="s">
        <v>104</v>
      </c>
      <c r="L34" t="s">
        <v>104</v>
      </c>
      <c r="M34">
        <v>97</v>
      </c>
      <c r="N34" t="s">
        <v>116</v>
      </c>
      <c r="O34" t="s">
        <v>105</v>
      </c>
      <c r="P34" t="s">
        <v>477</v>
      </c>
      <c r="Q34" t="s">
        <v>16</v>
      </c>
      <c r="R34" t="s">
        <v>16</v>
      </c>
      <c r="S34" t="s">
        <v>16</v>
      </c>
      <c r="T34" t="s">
        <v>123</v>
      </c>
      <c r="U34" t="s">
        <v>11</v>
      </c>
    </row>
    <row r="35" spans="2:21" x14ac:dyDescent="0.25">
      <c r="B35" t="s">
        <v>16</v>
      </c>
      <c r="C35">
        <v>46</v>
      </c>
      <c r="D35" t="s">
        <v>53</v>
      </c>
      <c r="E35" t="s">
        <v>5</v>
      </c>
      <c r="F35" t="s">
        <v>16</v>
      </c>
      <c r="G35">
        <v>25</v>
      </c>
      <c r="H35" t="s">
        <v>54</v>
      </c>
      <c r="I35" t="s">
        <v>6</v>
      </c>
      <c r="J35" t="s">
        <v>15</v>
      </c>
      <c r="K35" t="s">
        <v>104</v>
      </c>
      <c r="L35" t="s">
        <v>104</v>
      </c>
      <c r="M35">
        <v>91</v>
      </c>
      <c r="N35" t="s">
        <v>66</v>
      </c>
      <c r="O35" t="s">
        <v>105</v>
      </c>
      <c r="P35" t="s">
        <v>477</v>
      </c>
      <c r="Q35" t="s">
        <v>16</v>
      </c>
      <c r="R35" t="s">
        <v>16</v>
      </c>
      <c r="S35" t="s">
        <v>16</v>
      </c>
      <c r="T35" t="s">
        <v>122</v>
      </c>
      <c r="U35" t="s">
        <v>10</v>
      </c>
    </row>
    <row r="36" spans="2:21" x14ac:dyDescent="0.25">
      <c r="B36" t="s">
        <v>16</v>
      </c>
      <c r="C36">
        <v>41</v>
      </c>
      <c r="D36" t="s">
        <v>53</v>
      </c>
      <c r="E36" t="s">
        <v>5</v>
      </c>
      <c r="F36" t="s">
        <v>16</v>
      </c>
      <c r="G36">
        <v>45</v>
      </c>
      <c r="H36" t="s">
        <v>54</v>
      </c>
      <c r="I36" t="s">
        <v>6</v>
      </c>
      <c r="J36" t="s">
        <v>15</v>
      </c>
      <c r="K36" t="s">
        <v>104</v>
      </c>
      <c r="L36" t="s">
        <v>104</v>
      </c>
      <c r="M36">
        <v>19</v>
      </c>
      <c r="N36" t="s">
        <v>66</v>
      </c>
      <c r="O36" t="s">
        <v>105</v>
      </c>
      <c r="P36" t="s">
        <v>477</v>
      </c>
      <c r="Q36" t="s">
        <v>16</v>
      </c>
      <c r="R36" t="s">
        <v>16</v>
      </c>
      <c r="S36" t="s">
        <v>16</v>
      </c>
      <c r="T36" t="s">
        <v>122</v>
      </c>
      <c r="U36" t="s">
        <v>10</v>
      </c>
    </row>
    <row r="37" spans="2:21" x14ac:dyDescent="0.25">
      <c r="B37" t="s">
        <v>478</v>
      </c>
      <c r="C37" t="s">
        <v>478</v>
      </c>
      <c r="D37" t="s">
        <v>478</v>
      </c>
      <c r="E37" t="s">
        <v>478</v>
      </c>
      <c r="F37" t="s">
        <v>478</v>
      </c>
      <c r="G37" t="s">
        <v>478</v>
      </c>
      <c r="H37" t="s">
        <v>478</v>
      </c>
      <c r="I37" t="s">
        <v>478</v>
      </c>
      <c r="J37" t="s">
        <v>478</v>
      </c>
      <c r="K37" t="s">
        <v>478</v>
      </c>
      <c r="L37" t="s">
        <v>478</v>
      </c>
      <c r="M37" t="s">
        <v>478</v>
      </c>
      <c r="N37" t="s">
        <v>478</v>
      </c>
      <c r="O37" t="s">
        <v>478</v>
      </c>
      <c r="P37" t="s">
        <v>478</v>
      </c>
      <c r="Q37" t="s">
        <v>478</v>
      </c>
      <c r="R37" t="s">
        <v>478</v>
      </c>
      <c r="S37" t="s">
        <v>478</v>
      </c>
      <c r="T37" t="s">
        <v>478</v>
      </c>
      <c r="U37" t="s">
        <v>478</v>
      </c>
    </row>
    <row r="38" spans="2:21" x14ac:dyDescent="0.25">
      <c r="B38" t="s">
        <v>478</v>
      </c>
      <c r="C38" t="s">
        <v>478</v>
      </c>
      <c r="D38" t="s">
        <v>478</v>
      </c>
      <c r="E38" t="s">
        <v>478</v>
      </c>
      <c r="F38" t="s">
        <v>478</v>
      </c>
      <c r="G38" t="s">
        <v>478</v>
      </c>
      <c r="H38" t="s">
        <v>478</v>
      </c>
      <c r="I38" t="s">
        <v>478</v>
      </c>
      <c r="J38" t="s">
        <v>478</v>
      </c>
      <c r="K38" t="s">
        <v>478</v>
      </c>
      <c r="L38" t="s">
        <v>478</v>
      </c>
      <c r="M38" t="s">
        <v>478</v>
      </c>
      <c r="N38" t="s">
        <v>478</v>
      </c>
      <c r="O38" t="s">
        <v>478</v>
      </c>
      <c r="P38" t="s">
        <v>478</v>
      </c>
      <c r="Q38" t="s">
        <v>478</v>
      </c>
      <c r="R38" t="s">
        <v>478</v>
      </c>
      <c r="S38" t="s">
        <v>478</v>
      </c>
      <c r="T38" t="s">
        <v>478</v>
      </c>
      <c r="U38" t="s">
        <v>478</v>
      </c>
    </row>
    <row r="39" spans="2:21" x14ac:dyDescent="0.25">
      <c r="B39" t="s">
        <v>478</v>
      </c>
      <c r="C39" t="s">
        <v>478</v>
      </c>
      <c r="D39" t="s">
        <v>478</v>
      </c>
      <c r="E39" t="s">
        <v>478</v>
      </c>
      <c r="F39" t="s">
        <v>478</v>
      </c>
      <c r="G39" t="s">
        <v>478</v>
      </c>
      <c r="H39" t="s">
        <v>478</v>
      </c>
      <c r="I39" t="s">
        <v>478</v>
      </c>
      <c r="J39" t="s">
        <v>478</v>
      </c>
      <c r="K39" t="s">
        <v>478</v>
      </c>
      <c r="L39" t="s">
        <v>478</v>
      </c>
      <c r="M39" t="s">
        <v>478</v>
      </c>
      <c r="N39" t="s">
        <v>478</v>
      </c>
      <c r="O39" t="s">
        <v>478</v>
      </c>
      <c r="P39" t="s">
        <v>478</v>
      </c>
      <c r="Q39" t="s">
        <v>478</v>
      </c>
      <c r="R39" t="s">
        <v>478</v>
      </c>
      <c r="S39" t="s">
        <v>478</v>
      </c>
      <c r="T39" t="s">
        <v>478</v>
      </c>
      <c r="U39" t="s">
        <v>478</v>
      </c>
    </row>
    <row r="40" spans="2:21" x14ac:dyDescent="0.25">
      <c r="B40" t="s">
        <v>478</v>
      </c>
      <c r="C40" t="s">
        <v>478</v>
      </c>
      <c r="D40" t="s">
        <v>478</v>
      </c>
      <c r="E40" t="s">
        <v>478</v>
      </c>
      <c r="F40" t="s">
        <v>478</v>
      </c>
      <c r="G40" t="s">
        <v>478</v>
      </c>
      <c r="H40" t="s">
        <v>478</v>
      </c>
      <c r="I40" t="s">
        <v>478</v>
      </c>
      <c r="J40" t="s">
        <v>478</v>
      </c>
      <c r="K40" t="s">
        <v>478</v>
      </c>
      <c r="L40" t="s">
        <v>478</v>
      </c>
      <c r="M40" t="s">
        <v>478</v>
      </c>
      <c r="N40" t="s">
        <v>478</v>
      </c>
      <c r="O40" t="s">
        <v>478</v>
      </c>
      <c r="P40" t="s">
        <v>478</v>
      </c>
      <c r="Q40" t="s">
        <v>478</v>
      </c>
      <c r="R40" t="s">
        <v>478</v>
      </c>
      <c r="S40" t="s">
        <v>478</v>
      </c>
      <c r="T40" t="s">
        <v>478</v>
      </c>
      <c r="U40" t="s">
        <v>478</v>
      </c>
    </row>
    <row r="41" spans="2:21" x14ac:dyDescent="0.25">
      <c r="B41" t="s">
        <v>478</v>
      </c>
      <c r="C41" t="s">
        <v>478</v>
      </c>
      <c r="D41" t="s">
        <v>478</v>
      </c>
      <c r="E41" t="s">
        <v>478</v>
      </c>
      <c r="F41" t="s">
        <v>478</v>
      </c>
      <c r="G41" t="s">
        <v>478</v>
      </c>
      <c r="H41" t="s">
        <v>478</v>
      </c>
      <c r="I41" t="s">
        <v>478</v>
      </c>
      <c r="J41" t="s">
        <v>478</v>
      </c>
      <c r="K41" t="s">
        <v>478</v>
      </c>
      <c r="L41" t="s">
        <v>478</v>
      </c>
      <c r="M41" t="s">
        <v>478</v>
      </c>
      <c r="N41" t="s">
        <v>478</v>
      </c>
      <c r="O41" t="s">
        <v>478</v>
      </c>
      <c r="P41" t="s">
        <v>478</v>
      </c>
      <c r="Q41" t="s">
        <v>478</v>
      </c>
      <c r="R41" t="s">
        <v>478</v>
      </c>
      <c r="S41" t="s">
        <v>478</v>
      </c>
      <c r="T41" t="s">
        <v>478</v>
      </c>
      <c r="U41" t="s">
        <v>478</v>
      </c>
    </row>
    <row r="42" spans="2:21" x14ac:dyDescent="0.25">
      <c r="B42" t="s">
        <v>478</v>
      </c>
      <c r="C42" t="s">
        <v>478</v>
      </c>
      <c r="D42" t="s">
        <v>478</v>
      </c>
      <c r="E42" t="s">
        <v>478</v>
      </c>
      <c r="F42" t="s">
        <v>478</v>
      </c>
      <c r="G42" t="s">
        <v>478</v>
      </c>
      <c r="H42" t="s">
        <v>478</v>
      </c>
      <c r="I42" t="s">
        <v>478</v>
      </c>
      <c r="J42" t="s">
        <v>478</v>
      </c>
      <c r="K42" t="s">
        <v>478</v>
      </c>
      <c r="L42" t="s">
        <v>478</v>
      </c>
      <c r="M42" t="s">
        <v>478</v>
      </c>
      <c r="N42" t="s">
        <v>478</v>
      </c>
      <c r="O42" t="s">
        <v>478</v>
      </c>
      <c r="P42" t="s">
        <v>478</v>
      </c>
      <c r="Q42" t="s">
        <v>478</v>
      </c>
      <c r="R42" t="s">
        <v>478</v>
      </c>
      <c r="S42" t="s">
        <v>478</v>
      </c>
      <c r="T42" t="s">
        <v>478</v>
      </c>
      <c r="U42" t="s">
        <v>478</v>
      </c>
    </row>
    <row r="43" spans="2:21" x14ac:dyDescent="0.25">
      <c r="B43" t="s">
        <v>478</v>
      </c>
      <c r="C43" t="s">
        <v>478</v>
      </c>
      <c r="D43" t="s">
        <v>478</v>
      </c>
      <c r="E43" t="s">
        <v>478</v>
      </c>
      <c r="F43" t="s">
        <v>478</v>
      </c>
      <c r="G43" t="s">
        <v>478</v>
      </c>
      <c r="H43" t="s">
        <v>478</v>
      </c>
      <c r="I43" t="s">
        <v>478</v>
      </c>
      <c r="J43" t="s">
        <v>478</v>
      </c>
      <c r="K43" t="s">
        <v>478</v>
      </c>
      <c r="L43" t="s">
        <v>478</v>
      </c>
      <c r="M43" t="s">
        <v>478</v>
      </c>
      <c r="N43" t="s">
        <v>478</v>
      </c>
      <c r="O43" t="s">
        <v>478</v>
      </c>
      <c r="P43" t="s">
        <v>478</v>
      </c>
      <c r="Q43" t="s">
        <v>478</v>
      </c>
      <c r="R43" t="s">
        <v>478</v>
      </c>
      <c r="S43" t="s">
        <v>478</v>
      </c>
      <c r="T43" t="s">
        <v>478</v>
      </c>
      <c r="U43" t="s">
        <v>478</v>
      </c>
    </row>
    <row r="44" spans="2:21" x14ac:dyDescent="0.25">
      <c r="B44" t="s">
        <v>478</v>
      </c>
      <c r="C44" t="s">
        <v>478</v>
      </c>
      <c r="D44" t="s">
        <v>478</v>
      </c>
      <c r="E44" t="s">
        <v>478</v>
      </c>
      <c r="F44" t="s">
        <v>478</v>
      </c>
      <c r="G44" t="s">
        <v>478</v>
      </c>
      <c r="H44" t="s">
        <v>478</v>
      </c>
      <c r="I44" t="s">
        <v>478</v>
      </c>
      <c r="J44" t="s">
        <v>478</v>
      </c>
      <c r="K44" t="s">
        <v>478</v>
      </c>
      <c r="L44" t="s">
        <v>478</v>
      </c>
      <c r="M44" t="s">
        <v>478</v>
      </c>
      <c r="N44" t="s">
        <v>478</v>
      </c>
      <c r="O44" t="s">
        <v>478</v>
      </c>
      <c r="P44" t="s">
        <v>478</v>
      </c>
      <c r="Q44" t="s">
        <v>478</v>
      </c>
      <c r="R44" t="s">
        <v>478</v>
      </c>
      <c r="S44" t="s">
        <v>478</v>
      </c>
      <c r="T44" t="s">
        <v>478</v>
      </c>
      <c r="U44" t="s">
        <v>478</v>
      </c>
    </row>
    <row r="45" spans="2:21" x14ac:dyDescent="0.25">
      <c r="B45" t="s">
        <v>478</v>
      </c>
      <c r="C45" t="s">
        <v>478</v>
      </c>
      <c r="D45" t="s">
        <v>478</v>
      </c>
      <c r="E45" t="s">
        <v>478</v>
      </c>
      <c r="F45" t="s">
        <v>478</v>
      </c>
      <c r="G45" t="s">
        <v>478</v>
      </c>
      <c r="H45" t="s">
        <v>478</v>
      </c>
      <c r="I45" t="s">
        <v>478</v>
      </c>
      <c r="J45" t="s">
        <v>478</v>
      </c>
      <c r="K45" t="s">
        <v>478</v>
      </c>
      <c r="L45" t="s">
        <v>478</v>
      </c>
      <c r="M45" t="s">
        <v>478</v>
      </c>
      <c r="N45" t="s">
        <v>478</v>
      </c>
      <c r="O45" t="s">
        <v>478</v>
      </c>
      <c r="P45" t="s">
        <v>478</v>
      </c>
      <c r="Q45" t="s">
        <v>478</v>
      </c>
      <c r="R45" t="s">
        <v>478</v>
      </c>
      <c r="S45" t="s">
        <v>478</v>
      </c>
      <c r="T45" t="s">
        <v>478</v>
      </c>
      <c r="U45" t="s">
        <v>478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Synthèse diag</vt:lpstr>
      <vt:lpstr>Diag_macro</vt:lpstr>
      <vt:lpstr>Diag_NRO_export</vt:lpstr>
      <vt:lpstr>Diag</vt:lpstr>
      <vt:lpstr>SYNTHESE</vt:lpstr>
      <vt:lpstr>Feuil1</vt:lpstr>
      <vt:lpstr>SYNTHESE!Zone_d_impression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metis-lyon6</dc:creator>
  <cp:lastModifiedBy>jean-Noel-11</cp:lastModifiedBy>
  <dcterms:created xsi:type="dcterms:W3CDTF">2016-12-07T08:51:41Z</dcterms:created>
  <dcterms:modified xsi:type="dcterms:W3CDTF">2017-10-09T11:07:24Z</dcterms:modified>
</cp:coreProperties>
</file>